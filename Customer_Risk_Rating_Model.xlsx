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isk_Weights" sheetId="2" state="visible" r:id="rId4"/>
    <sheet name="Reference_Tables" sheetId="3" state="visible" r:id="rId5"/>
    <sheet name="Customers" sheetId="4" state="visible" r:id="rId6"/>
    <sheet name="Risk_Assessment" sheetId="5" state="visible" r:id="rId7"/>
  </sheets>
  <definedNames>
    <definedName function="false" hidden="true" localSheetId="3" name="_xlnm._FilterDatabase" vbProcedure="false">Customers!$A$1:$K$26</definedName>
    <definedName function="false" hidden="true" localSheetId="4" name="_xlnm._FilterDatabase" vbProcedure="false">Risk_Assessment!$A$1:$O$26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<sst xmlns="http://schemas.openxmlformats.org/spreadsheetml/2006/main" count="500" uniqueCount="219">
  <si>
    <t xml:space="preserve">Customer Risk Assessment &amp; Risk Rating Model (Excel)</t>
  </si>
  <si>
    <t xml:space="preserve">A no-code customer risk rating model implementing a standard FATF risk-based approach (RBA) for KYC/CDD — built entirely in Excel formulas.</t>
  </si>
  <si>
    <t xml:space="preserve">Purpose: a customer's risk rating is what drives everything downstream in a KYC program — how much due diligence is required at onboarding (Simplified CDD, Standard CDD, or Enhanced Due Diligence), how often the file gets reviewed, and how closely transaction monitoring alerts on that account are weighted. This workbook demonstrates that scoring logic end to end.</t>
  </si>
  <si>
    <t xml:space="preserve">How to use this workbook:</t>
  </si>
  <si>
    <t xml:space="preserve">  1. 'Risk_Weights' — the scoring policy: which factors matter and how much each counts toward the final score. Change a weight here and every customer's score recalculates automatically.</t>
  </si>
  <si>
    <t xml:space="preserve">  2. 'Reference_Tables' — five lookup tables (geography, industry, product, delivery channel, customer/entity type), each mapping a category to a Low/Medium/High risk tier. This is the kind of table a real compliance team maintains and periodically re-approves as policy.</t>
  </si>
  <si>
    <t xml:space="preserve">  3. 'Customers' — the customer book being assessed.</t>
  </si>
  <si>
    <t xml:space="preserve">  4. 'Risk_Assessment' — the scoring engine. Every customer's five risk factors are looked up, converted to a numeric score, weighted, and combined into a final rating — click any cell to see the live formula.</t>
  </si>
  <si>
    <t xml:space="preserve">The five weighted risk factors (standard FATF RBA categories):</t>
  </si>
  <si>
    <t xml:space="preserve">  - Geographic Risk (25%) — customer's country of residence/incorporation, including FATF grey/black list status.</t>
  </si>
  <si>
    <t xml:space="preserve">  - Industry / Occupation Risk (20%) — cash-intensive, MSB, precious metals, and similar sectors score higher than salaried employment or retail.</t>
  </si>
  <si>
    <t xml:space="preserve">  - Product &amp; Service Risk (20%) — cross-border wires, correspondent banking, and crypto services score higher than a plain checking account.</t>
  </si>
  <si>
    <t xml:space="preserve">  - Customer / Entity Type Risk (15%) — individuals score lower than entities with complex or layered ownership structures, trusts, or foundations.</t>
  </si>
  <si>
    <t xml:space="preserve">  - Delivery Channel Risk (20%) — face-to-face onboarding scores lower than non-resident remote onboarding or third-party introduction.</t>
  </si>
  <si>
    <t xml:space="preserve">PEP status and adverse media are NOT weighted factors — they are override triggers. A customer who is a confirmed PEP, or who has a confirmed adverse media hit, is automatically rated High risk regardless of how low their weighted score is. This mirrors real program design: averaging a PEP flag into a weighted score would let an otherwise-clean profile dilute a factor that regulators expect to be decisive on its own.</t>
  </si>
  <si>
    <t xml:space="preserve">Key formulas used (all standard Excel, no add-ins, no VBA):</t>
  </si>
  <si>
    <t xml:space="preserve">  - INDEX/MATCH — pulling each customer's risk tier from the reference tables for all five factors.</t>
  </si>
  <si>
    <t xml:space="preserve">  - Nested IF — converting Low/Medium/High tiers to a 1/2/3 numeric score, and turning the final weighted score into a plain-English rating.</t>
  </si>
  <si>
    <t xml:space="preserve">  - SUMPRODUCT-style weighted sum — combining five factor scores with their policy weights into one composite score.</t>
  </si>
  <si>
    <t xml:space="preserve">  - OR — implementing the PEP/adverse-media override without disturbing the underlying weighted score (both are shown side by side, so an analyst can see the calculated score AND the reason it was overridden).</t>
  </si>
  <si>
    <t xml:space="preserve">  - Conditional formatting — red/amber/green by final risk rating.</t>
  </si>
  <si>
    <t xml:space="preserve">A note on thresholds: the Low/Medium/High cutoffs on the weighted score (and the specific weights themselves) are policy choices, not fixed math — a real institution calibrates and periodically re-validates these against its actual risk appetite and regulator expectations. They're intentionally exposed as editable inputs here rather than buried in formulas, since a risk model that can't be re-tuned without rewriting formulas isn't one a compliance team can actually govern.</t>
  </si>
  <si>
    <t xml:space="preserve">risk_factor</t>
  </si>
  <si>
    <t xml:space="preserve">weight</t>
  </si>
  <si>
    <t xml:space="preserve">description</t>
  </si>
  <si>
    <t xml:space="preserve">Geographic Risk</t>
  </si>
  <si>
    <t xml:space="preserve">Customer's country of residence/incorporation</t>
  </si>
  <si>
    <t xml:space="preserve">Industry / Occupation Risk</t>
  </si>
  <si>
    <t xml:space="preserve">Sector or occupation the customer operates in</t>
  </si>
  <si>
    <t xml:space="preserve">Product &amp; Service Risk</t>
  </si>
  <si>
    <t xml:space="preserve">Products/services the customer will use</t>
  </si>
  <si>
    <t xml:space="preserve">Customer / Entity Type Risk</t>
  </si>
  <si>
    <t xml:space="preserve">Individual vs. entity, ownership complexity</t>
  </si>
  <si>
    <t xml:space="preserve">Delivery Channel Risk</t>
  </si>
  <si>
    <t xml:space="preserve">How the customer was onboarded</t>
  </si>
  <si>
    <t xml:space="preserve">TOTAL</t>
  </si>
  <si>
    <t xml:space="preserve">COUNTRY RISK</t>
  </si>
  <si>
    <t xml:space="preserve">INDUSTRY / OCCUPATION RISK</t>
  </si>
  <si>
    <t xml:space="preserve">PRODUCT &amp; SERVICE RISK</t>
  </si>
  <si>
    <t xml:space="preserve">DELIVERY CHANNEL RISK</t>
  </si>
  <si>
    <t xml:space="preserve">CUSTOMER / ENTITY TYPE RISK</t>
  </si>
  <si>
    <t xml:space="preserve">country</t>
  </si>
  <si>
    <t xml:space="preserve">risk_tier</t>
  </si>
  <si>
    <t xml:space="preserve">fatf_status</t>
  </si>
  <si>
    <t xml:space="preserve">industry</t>
  </si>
  <si>
    <t xml:space="preserve">product_type</t>
  </si>
  <si>
    <t xml:space="preserve">delivery_channel</t>
  </si>
  <si>
    <t xml:space="preserve">customer_type</t>
  </si>
  <si>
    <t xml:space="preserve">US</t>
  </si>
  <si>
    <t xml:space="preserve">Low</t>
  </si>
  <si>
    <t xml:space="preserve">None</t>
  </si>
  <si>
    <t xml:space="preserve">Salaried Employment</t>
  </si>
  <si>
    <t xml:space="preserve">Checking Account</t>
  </si>
  <si>
    <t xml:space="preserve">Face-to-Face / Branch</t>
  </si>
  <si>
    <t xml:space="preserve">Individual - Salaried</t>
  </si>
  <si>
    <t xml:space="preserve">CA</t>
  </si>
  <si>
    <t xml:space="preserve">Retail Trade</t>
  </si>
  <si>
    <t xml:space="preserve">Savings Account</t>
  </si>
  <si>
    <t xml:space="preserve">Online / Digital Onboarding (verified)</t>
  </si>
  <si>
    <t xml:space="preserve">Medium</t>
  </si>
  <si>
    <t xml:space="preserve">Individual - Self-Employed</t>
  </si>
  <si>
    <t xml:space="preserve">GB</t>
  </si>
  <si>
    <t xml:space="preserve">IT Services</t>
  </si>
  <si>
    <t xml:space="preserve">Personal Loan</t>
  </si>
  <si>
    <t xml:space="preserve">Non-Resident Remote Onboarding</t>
  </si>
  <si>
    <t xml:space="preserve">High</t>
  </si>
  <si>
    <t xml:space="preserve">Publicly Listed Company</t>
  </si>
  <si>
    <t xml:space="preserve">DE</t>
  </si>
  <si>
    <t xml:space="preserve">Healthcare</t>
  </si>
  <si>
    <t xml:space="preserve">Mortgage</t>
  </si>
  <si>
    <t xml:space="preserve">Introduced by Third Party / Correspondent</t>
  </si>
  <si>
    <t xml:space="preserve">Government Entity</t>
  </si>
  <si>
    <t xml:space="preserve">FR</t>
  </si>
  <si>
    <t xml:space="preserve">Education</t>
  </si>
  <si>
    <t xml:space="preserve">Trade Finance</t>
  </si>
  <si>
    <t xml:space="preserve">Private Company - Simple Ownership</t>
  </si>
  <si>
    <t xml:space="preserve">JP</t>
  </si>
  <si>
    <t xml:space="preserve">Government Employment</t>
  </si>
  <si>
    <t xml:space="preserve">Private Banking</t>
  </si>
  <si>
    <t xml:space="preserve">Private Company - Complex/Layered Ownership</t>
  </si>
  <si>
    <t xml:space="preserve">AU</t>
  </si>
  <si>
    <t xml:space="preserve">Manufacturing</t>
  </si>
  <si>
    <t xml:space="preserve">International Wire Transfers</t>
  </si>
  <si>
    <t xml:space="preserve">Trust / Foundation</t>
  </si>
  <si>
    <t xml:space="preserve">SG</t>
  </si>
  <si>
    <t xml:space="preserve">Construction</t>
  </si>
  <si>
    <t xml:space="preserve">Correspondent Banking</t>
  </si>
  <si>
    <t xml:space="preserve">NL</t>
  </si>
  <si>
    <t xml:space="preserve">Real Estate</t>
  </si>
  <si>
    <t xml:space="preserve">Cryptocurrency Services</t>
  </si>
  <si>
    <t xml:space="preserve">CH</t>
  </si>
  <si>
    <t xml:space="preserve">Import / Export Trading</t>
  </si>
  <si>
    <t xml:space="preserve">Cash-Intensive Business Account</t>
  </si>
  <si>
    <t xml:space="preserve">IN</t>
  </si>
  <si>
    <t xml:space="preserve">Legal Services</t>
  </si>
  <si>
    <t xml:space="preserve">BR</t>
  </si>
  <si>
    <t xml:space="preserve">NGO / Charity</t>
  </si>
  <si>
    <t xml:space="preserve">MX</t>
  </si>
  <si>
    <t xml:space="preserve">Consulting</t>
  </si>
  <si>
    <t xml:space="preserve">ZA</t>
  </si>
  <si>
    <t xml:space="preserve">Money Services Business (MSB)</t>
  </si>
  <si>
    <t xml:space="preserve">TH</t>
  </si>
  <si>
    <t xml:space="preserve">Casino / Gaming</t>
  </si>
  <si>
    <t xml:space="preserve">AE</t>
  </si>
  <si>
    <t xml:space="preserve">Precious Metals &amp; Stones Dealer</t>
  </si>
  <si>
    <t xml:space="preserve">TR</t>
  </si>
  <si>
    <t xml:space="preserve">FATF grey list</t>
  </si>
  <si>
    <t xml:space="preserve">Cryptocurrency Exchange</t>
  </si>
  <si>
    <t xml:space="preserve">PH</t>
  </si>
  <si>
    <t xml:space="preserve">Arms &amp; Defense Trading</t>
  </si>
  <si>
    <t xml:space="preserve">VN</t>
  </si>
  <si>
    <t xml:space="preserve">Cash-Intensive Retail (e.g. car wash, convenience store)</t>
  </si>
  <si>
    <t xml:space="preserve">HK</t>
  </si>
  <si>
    <t xml:space="preserve">Shipping &amp; Freight Forwarding</t>
  </si>
  <si>
    <t xml:space="preserve">SY</t>
  </si>
  <si>
    <t xml:space="preserve">FATF black list</t>
  </si>
  <si>
    <t xml:space="preserve">KP</t>
  </si>
  <si>
    <t xml:space="preserve">IR</t>
  </si>
  <si>
    <t xml:space="preserve">MM</t>
  </si>
  <si>
    <t xml:space="preserve">AF</t>
  </si>
  <si>
    <t xml:space="preserve">YE</t>
  </si>
  <si>
    <t xml:space="preserve">SD</t>
  </si>
  <si>
    <t xml:space="preserve">PA</t>
  </si>
  <si>
    <t xml:space="preserve">CY</t>
  </si>
  <si>
    <t xml:space="preserve">None - high-risk offshore profile</t>
  </si>
  <si>
    <t xml:space="preserve">BY</t>
  </si>
  <si>
    <t xml:space="preserve">None - sanctioned regime proximity</t>
  </si>
  <si>
    <t xml:space="preserve">customer_id</t>
  </si>
  <si>
    <t xml:space="preserve">customer_name</t>
  </si>
  <si>
    <t xml:space="preserve">is_pep</t>
  </si>
  <si>
    <t xml:space="preserve">adverse_media_flag</t>
  </si>
  <si>
    <t xml:space="preserve">expected_annual_txn_volume_usd</t>
  </si>
  <si>
    <t xml:space="preserve">onboarding_date</t>
  </si>
  <si>
    <t xml:space="preserve">K001</t>
  </si>
  <si>
    <t xml:space="preserve">Rebecca Lin</t>
  </si>
  <si>
    <t xml:space="preserve">2024-01-10</t>
  </si>
  <si>
    <t xml:space="preserve">K002</t>
  </si>
  <si>
    <t xml:space="preserve">Marcus Webb</t>
  </si>
  <si>
    <t xml:space="preserve">2023-06-22</t>
  </si>
  <si>
    <t xml:space="preserve">K003</t>
  </si>
  <si>
    <t xml:space="preserve">Aiko Tanaka</t>
  </si>
  <si>
    <t xml:space="preserve">2024-03-15</t>
  </si>
  <si>
    <t xml:space="preserve">K004</t>
  </si>
  <si>
    <t xml:space="preserve">Global Freight Solutions Ltd</t>
  </si>
  <si>
    <t xml:space="preserve">2022-11-01</t>
  </si>
  <si>
    <t xml:space="preserve">K005</t>
  </si>
  <si>
    <t xml:space="preserve">Henrik Larsen</t>
  </si>
  <si>
    <t xml:space="preserve">2023-09-08</t>
  </si>
  <si>
    <t xml:space="preserve">K006</t>
  </si>
  <si>
    <t xml:space="preserve">Priya Raman</t>
  </si>
  <si>
    <t xml:space="preserve">2024-02-19</t>
  </si>
  <si>
    <t xml:space="preserve">K007</t>
  </si>
  <si>
    <t xml:space="preserve">Whitfield &amp; Associates LLP</t>
  </si>
  <si>
    <t xml:space="preserve">2021-05-14</t>
  </si>
  <si>
    <t xml:space="preserve">K008</t>
  </si>
  <si>
    <t xml:space="preserve">Nour Haddad</t>
  </si>
  <si>
    <t xml:space="preserve">2022-08-30</t>
  </si>
  <si>
    <t xml:space="preserve">K009</t>
  </si>
  <si>
    <t xml:space="preserve">Grace Ito</t>
  </si>
  <si>
    <t xml:space="preserve">2020-04-12</t>
  </si>
  <si>
    <t xml:space="preserve">K010</t>
  </si>
  <si>
    <t xml:space="preserve">Silverline Trading FZE</t>
  </si>
  <si>
    <t xml:space="preserve">2023-01-20</t>
  </si>
  <si>
    <t xml:space="preserve">K011</t>
  </si>
  <si>
    <t xml:space="preserve">Anatoly Sokolov</t>
  </si>
  <si>
    <t xml:space="preserve">2023-07-02</t>
  </si>
  <si>
    <t xml:space="preserve">K012</t>
  </si>
  <si>
    <t xml:space="preserve">Maria Fernandez</t>
  </si>
  <si>
    <t xml:space="preserve">2024-05-01</t>
  </si>
  <si>
    <t xml:space="preserve">K013</t>
  </si>
  <si>
    <t xml:space="preserve">Consolidated Metals JSC</t>
  </si>
  <si>
    <t xml:space="preserve">2023-10-11</t>
  </si>
  <si>
    <t xml:space="preserve">K014</t>
  </si>
  <si>
    <t xml:space="preserve">Tobias Reiner</t>
  </si>
  <si>
    <t xml:space="preserve">2022-02-17</t>
  </si>
  <si>
    <t xml:space="preserve">K015</t>
  </si>
  <si>
    <t xml:space="preserve">Fatima Al-Zahra</t>
  </si>
  <si>
    <t xml:space="preserve">2023-03-25</t>
  </si>
  <si>
    <t xml:space="preserve">K016</t>
  </si>
  <si>
    <t xml:space="preserve">Northbridge Capital Partners</t>
  </si>
  <si>
    <t xml:space="preserve">2022-12-09</t>
  </si>
  <si>
    <t xml:space="preserve">K017</t>
  </si>
  <si>
    <t xml:space="preserve">Daniel Osei</t>
  </si>
  <si>
    <t xml:space="preserve">2024-04-08</t>
  </si>
  <si>
    <t xml:space="preserve">K018</t>
  </si>
  <si>
    <t xml:space="preserve">Elena Petrova</t>
  </si>
  <si>
    <t xml:space="preserve">2023-11-19</t>
  </si>
  <si>
    <t xml:space="preserve">K019</t>
  </si>
  <si>
    <t xml:space="preserve">Carlos Mendez</t>
  </si>
  <si>
    <t xml:space="preserve">2019-09-01</t>
  </si>
  <si>
    <t xml:space="preserve">K020</t>
  </si>
  <si>
    <t xml:space="preserve">Sophie Bergman</t>
  </si>
  <si>
    <t xml:space="preserve">2023-08-14</t>
  </si>
  <si>
    <t xml:space="preserve">K021</t>
  </si>
  <si>
    <t xml:space="preserve">Everline Trading DMCC</t>
  </si>
  <si>
    <t xml:space="preserve">2024-06-03</t>
  </si>
  <si>
    <t xml:space="preserve">K022</t>
  </si>
  <si>
    <t xml:space="preserve">Ravi Kapoor</t>
  </si>
  <si>
    <t xml:space="preserve">2024-01-27</t>
  </si>
  <si>
    <t xml:space="preserve">K023</t>
  </si>
  <si>
    <t xml:space="preserve">Jonas Weber</t>
  </si>
  <si>
    <t xml:space="preserve">2020-07-15</t>
  </si>
  <si>
    <t xml:space="preserve">K024</t>
  </si>
  <si>
    <t xml:space="preserve">Amara Diallo</t>
  </si>
  <si>
    <t xml:space="preserve">2023-02-11</t>
  </si>
  <si>
    <t xml:space="preserve">K025</t>
  </si>
  <si>
    <t xml:space="preserve">Lucas Meyer</t>
  </si>
  <si>
    <t xml:space="preserve">2024-03-30</t>
  </si>
  <si>
    <t xml:space="preserve">geo_risk_tier</t>
  </si>
  <si>
    <t xml:space="preserve">industry_risk_tier</t>
  </si>
  <si>
    <t xml:space="preserve">product_risk_tier</t>
  </si>
  <si>
    <t xml:space="preserve">channel_risk_tier</t>
  </si>
  <si>
    <t xml:space="preserve">customer_type_risk_tier</t>
  </si>
  <si>
    <t xml:space="preserve">weighted_score</t>
  </si>
  <si>
    <t xml:space="preserve">base_rating</t>
  </si>
  <si>
    <t xml:space="preserve">override_reason</t>
  </si>
  <si>
    <t xml:space="preserve">final_risk_rating</t>
  </si>
  <si>
    <t xml:space="preserve">cdd_requirement</t>
  </si>
  <si>
    <t xml:space="preserve">review_frequency</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</si>
</sst>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8">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color rgb="FFFFFFFF"/>
      <name val="Arial"/>
      <family val="0"/>
      <charset val="1"/>
    </font>
    <font>
      <b val="true"/>
      <sz val="1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Arial"/>
        <charset val="1"/>
        <family val="0"/>
        <color rgb="FF9C0006"/>
        <sz val="10"/>
      </font>
      <fill>
        <patternFill>
          <bgColor rgb="FFFFC7CE"/>
        </patternFill>
      </fill>
    </dxf>
    <dxf>
      <font>
        <name val="Arial"/>
        <charset val="1"/>
        <family val="0"/>
        <color rgb="FF9C6500"/>
        <sz val="10"/>
      </font>
      <fill>
        <patternFill>
          <bgColor rgb="FFFFEB9C"/>
        </patternFill>
      </fill>
    </dxf>
    <dxf>
      <font>
        <name val="Arial"/>
        <charset val="1"/>
        <family val="0"/>
        <color rgb="FF006100"/>
        <sz val="1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5"/>
  </cols>
  <sheetData>
    <row r="1" customFormat="false" ht="17.35" hidden="false" customHeight="false" outlineLevel="0" collapsed="false">
      <c r="A1" s="2" t="s">
        <v>0</v>
      </c>
    </row>
    <row r="3" customFormat="false" ht="23.85" hidden="false" customHeight="false" outlineLevel="0" collapsed="false">
      <c r="A3" s="3" t="s">
        <v>1</v>
      </c>
    </row>
    <row r="4" customFormat="false" ht="15" hidden="false" customHeight="false" outlineLevel="0" collapsed="false">
      <c r="A4" s="3"/>
    </row>
    <row r="5" customFormat="false" ht="35.05" hidden="false" customHeight="false" outlineLevel="0" collapsed="false">
      <c r="A5" s="3" t="s">
        <v>2</v>
      </c>
    </row>
    <row r="6" customFormat="false" ht="15" hidden="false" customHeight="false" outlineLevel="0" collapsed="false">
      <c r="A6" s="3"/>
    </row>
    <row r="7" customFormat="false" ht="15" hidden="false" customHeight="false" outlineLevel="0" collapsed="false">
      <c r="A7" s="3" t="s">
        <v>3</v>
      </c>
    </row>
    <row r="8" customFormat="false" ht="23.85" hidden="false" customHeight="false" outlineLevel="0" collapsed="false">
      <c r="A8" s="3" t="s">
        <v>4</v>
      </c>
    </row>
    <row r="9" customFormat="false" ht="35.05" hidden="false" customHeight="false" outlineLevel="0" collapsed="false">
      <c r="A9" s="3" t="s">
        <v>5</v>
      </c>
    </row>
    <row r="10" customFormat="false" ht="15" hidden="false" customHeight="false" outlineLevel="0" collapsed="false">
      <c r="A10" s="3" t="s">
        <v>6</v>
      </c>
    </row>
    <row r="11" customFormat="false" ht="23.85" hidden="false" customHeight="false" outlineLevel="0" collapsed="false">
      <c r="A11" s="3" t="s">
        <v>7</v>
      </c>
    </row>
    <row r="12" customFormat="false" ht="15" hidden="false" customHeight="false" outlineLevel="0" collapsed="false">
      <c r="A12" s="3"/>
    </row>
    <row r="13" customFormat="false" ht="15" hidden="false" customHeight="false" outlineLevel="0" collapsed="false">
      <c r="A13" s="3" t="s">
        <v>8</v>
      </c>
    </row>
    <row r="14" customFormat="false" ht="15" hidden="false" customHeight="false" outlineLevel="0" collapsed="false">
      <c r="A14" s="3" t="s">
        <v>9</v>
      </c>
    </row>
    <row r="15" customFormat="false" ht="23.85" hidden="false" customHeight="false" outlineLevel="0" collapsed="false">
      <c r="A15" s="3" t="s">
        <v>10</v>
      </c>
    </row>
    <row r="16" customFormat="false" ht="23.85" hidden="false" customHeight="false" outlineLevel="0" collapsed="false">
      <c r="A16" s="3" t="s">
        <v>11</v>
      </c>
    </row>
    <row r="17" customFormat="false" ht="23.85" hidden="false" customHeight="false" outlineLevel="0" collapsed="false">
      <c r="A17" s="3" t="s">
        <v>12</v>
      </c>
    </row>
    <row r="18" customFormat="false" ht="23.85" hidden="false" customHeight="false" outlineLevel="0" collapsed="false">
      <c r="A18" s="3" t="s">
        <v>13</v>
      </c>
    </row>
    <row r="19" customFormat="false" ht="15" hidden="false" customHeight="false" outlineLevel="0" collapsed="false">
      <c r="A19" s="3"/>
    </row>
    <row r="20" customFormat="false" ht="46.25" hidden="false" customHeight="false" outlineLevel="0" collapsed="false">
      <c r="A20" s="3" t="s">
        <v>14</v>
      </c>
    </row>
    <row r="21" customFormat="false" ht="15" hidden="false" customHeight="false" outlineLevel="0" collapsed="false">
      <c r="A21" s="3"/>
    </row>
    <row r="22" customFormat="false" ht="15" hidden="false" customHeight="false" outlineLevel="0" collapsed="false">
      <c r="A22" s="3" t="s">
        <v>15</v>
      </c>
    </row>
    <row r="23" customFormat="false" ht="15" hidden="false" customHeight="false" outlineLevel="0" collapsed="false">
      <c r="A23" s="3" t="s">
        <v>16</v>
      </c>
    </row>
    <row r="24" customFormat="false" ht="23.85" hidden="false" customHeight="false" outlineLevel="0" collapsed="false">
      <c r="A24" s="3" t="s">
        <v>17</v>
      </c>
    </row>
    <row r="25" customFormat="false" ht="15" hidden="false" customHeight="false" outlineLevel="0" collapsed="false">
      <c r="A25" s="3" t="s">
        <v>18</v>
      </c>
    </row>
    <row r="26" customFormat="false" ht="23.85" hidden="false" customHeight="false" outlineLevel="0" collapsed="false">
      <c r="A26" s="3" t="s">
        <v>19</v>
      </c>
    </row>
    <row r="27" customFormat="false" ht="15" hidden="false" customHeight="false" outlineLevel="0" collapsed="false">
      <c r="A27" s="3" t="s">
        <v>20</v>
      </c>
    </row>
    <row r="28" customFormat="false" ht="15" hidden="false" customHeight="false" outlineLevel="0" collapsed="false">
      <c r="A28" s="3"/>
    </row>
    <row r="29" customFormat="false" ht="46.25" hidden="false" customHeight="false" outlineLevel="0" collapsed="false">
      <c r="A29"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3" min="3" style="1" width="45"/>
  </cols>
  <sheetData>
    <row r="1" customFormat="false" ht="15" hidden="false" customHeight="false" outlineLevel="0" collapsed="false">
      <c r="A1" s="4" t="s">
        <v>22</v>
      </c>
      <c r="B1" s="4" t="s">
        <v>23</v>
      </c>
      <c r="C1" s="4" t="s">
        <v>24</v>
      </c>
    </row>
    <row r="2" customFormat="false" ht="15" hidden="false" customHeight="false" outlineLevel="0" collapsed="false">
      <c r="A2" s="5" t="s">
        <v>25</v>
      </c>
      <c r="B2" s="6" t="n">
        <v>0.25</v>
      </c>
      <c r="C2" s="5" t="s">
        <v>26</v>
      </c>
    </row>
    <row r="3" customFormat="false" ht="15" hidden="false" customHeight="false" outlineLevel="0" collapsed="false">
      <c r="A3" s="5" t="s">
        <v>27</v>
      </c>
      <c r="B3" s="6" t="n">
        <v>0.2</v>
      </c>
      <c r="C3" s="5" t="s">
        <v>28</v>
      </c>
    </row>
    <row r="4" customFormat="false" ht="15" hidden="false" customHeight="false" outlineLevel="0" collapsed="false">
      <c r="A4" s="5" t="s">
        <v>29</v>
      </c>
      <c r="B4" s="6" t="n">
        <v>0.2</v>
      </c>
      <c r="C4" s="5" t="s">
        <v>30</v>
      </c>
    </row>
    <row r="5" customFormat="false" ht="15" hidden="false" customHeight="false" outlineLevel="0" collapsed="false">
      <c r="A5" s="5" t="s">
        <v>31</v>
      </c>
      <c r="B5" s="6" t="n">
        <v>0.15</v>
      </c>
      <c r="C5" s="5" t="s">
        <v>32</v>
      </c>
    </row>
    <row r="6" customFormat="false" ht="15" hidden="false" customHeight="false" outlineLevel="0" collapsed="false">
      <c r="A6" s="5" t="s">
        <v>33</v>
      </c>
      <c r="B6" s="6" t="n">
        <v>0.2</v>
      </c>
      <c r="C6" s="5" t="s">
        <v>34</v>
      </c>
    </row>
    <row r="7" customFormat="false" ht="15" hidden="false" customHeight="false" outlineLevel="0" collapsed="false">
      <c r="A7" s="7" t="s">
        <v>35</v>
      </c>
      <c r="B7" s="8" t="n">
        <f aca="false">SUM(B2:B6)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26"/>
    <col collapsed="false" customWidth="true" hidden="false" outlineLevel="0" max="6" min="5" style="1" width="26"/>
    <col collapsed="false" customWidth="true" hidden="false" outlineLevel="0" max="9" min="8" style="1" width="26"/>
    <col collapsed="false" customWidth="true" hidden="false" outlineLevel="0" max="12" min="11" style="1" width="26"/>
    <col collapsed="false" customWidth="true" hidden="false" outlineLevel="0" max="15" min="14" style="1" width="26"/>
  </cols>
  <sheetData>
    <row r="1" customFormat="false" ht="15" hidden="false" customHeight="false" outlineLevel="0" collapsed="false">
      <c r="A1" s="7" t="s">
        <v>36</v>
      </c>
      <c r="E1" s="7" t="s">
        <v>37</v>
      </c>
      <c r="H1" s="7" t="s">
        <v>38</v>
      </c>
      <c r="K1" s="7" t="s">
        <v>39</v>
      </c>
      <c r="N1" s="7" t="s">
        <v>40</v>
      </c>
    </row>
    <row r="2" customFormat="false" ht="15" hidden="false" customHeight="false" outlineLevel="0" collapsed="false">
      <c r="A2" s="4" t="s">
        <v>41</v>
      </c>
      <c r="B2" s="4" t="s">
        <v>42</v>
      </c>
      <c r="C2" s="4" t="s">
        <v>43</v>
      </c>
      <c r="E2" s="4" t="s">
        <v>44</v>
      </c>
      <c r="F2" s="4" t="s">
        <v>42</v>
      </c>
      <c r="H2" s="4" t="s">
        <v>45</v>
      </c>
      <c r="I2" s="4" t="s">
        <v>42</v>
      </c>
      <c r="K2" s="4" t="s">
        <v>46</v>
      </c>
      <c r="L2" s="4" t="s">
        <v>42</v>
      </c>
      <c r="N2" s="4" t="s">
        <v>47</v>
      </c>
      <c r="O2" s="4" t="s">
        <v>42</v>
      </c>
    </row>
    <row r="3" customFormat="false" ht="15" hidden="false" customHeight="false" outlineLevel="0" collapsed="false">
      <c r="A3" s="5" t="s">
        <v>48</v>
      </c>
      <c r="B3" s="5" t="s">
        <v>49</v>
      </c>
      <c r="C3" s="5" t="s">
        <v>50</v>
      </c>
      <c r="E3" s="5" t="s">
        <v>51</v>
      </c>
      <c r="F3" s="5" t="s">
        <v>49</v>
      </c>
      <c r="H3" s="5" t="s">
        <v>52</v>
      </c>
      <c r="I3" s="5" t="s">
        <v>49</v>
      </c>
      <c r="K3" s="5" t="s">
        <v>53</v>
      </c>
      <c r="L3" s="5" t="s">
        <v>49</v>
      </c>
      <c r="N3" s="5" t="s">
        <v>54</v>
      </c>
      <c r="O3" s="5" t="s">
        <v>49</v>
      </c>
    </row>
    <row r="4" customFormat="false" ht="15" hidden="false" customHeight="false" outlineLevel="0" collapsed="false">
      <c r="A4" s="5" t="s">
        <v>55</v>
      </c>
      <c r="B4" s="5" t="s">
        <v>49</v>
      </c>
      <c r="C4" s="5" t="s">
        <v>50</v>
      </c>
      <c r="E4" s="5" t="s">
        <v>56</v>
      </c>
      <c r="F4" s="5" t="s">
        <v>49</v>
      </c>
      <c r="H4" s="5" t="s">
        <v>57</v>
      </c>
      <c r="I4" s="5" t="s">
        <v>49</v>
      </c>
      <c r="K4" s="5" t="s">
        <v>58</v>
      </c>
      <c r="L4" s="5" t="s">
        <v>59</v>
      </c>
      <c r="N4" s="5" t="s">
        <v>60</v>
      </c>
      <c r="O4" s="5" t="s">
        <v>59</v>
      </c>
    </row>
    <row r="5" customFormat="false" ht="15" hidden="false" customHeight="false" outlineLevel="0" collapsed="false">
      <c r="A5" s="5" t="s">
        <v>61</v>
      </c>
      <c r="B5" s="5" t="s">
        <v>49</v>
      </c>
      <c r="C5" s="5" t="s">
        <v>50</v>
      </c>
      <c r="E5" s="5" t="s">
        <v>62</v>
      </c>
      <c r="F5" s="5" t="s">
        <v>49</v>
      </c>
      <c r="H5" s="5" t="s">
        <v>63</v>
      </c>
      <c r="I5" s="5" t="s">
        <v>49</v>
      </c>
      <c r="K5" s="5" t="s">
        <v>64</v>
      </c>
      <c r="L5" s="5" t="s">
        <v>65</v>
      </c>
      <c r="N5" s="5" t="s">
        <v>66</v>
      </c>
      <c r="O5" s="5" t="s">
        <v>49</v>
      </c>
    </row>
    <row r="6" customFormat="false" ht="15" hidden="false" customHeight="false" outlineLevel="0" collapsed="false">
      <c r="A6" s="5" t="s">
        <v>67</v>
      </c>
      <c r="B6" s="5" t="s">
        <v>49</v>
      </c>
      <c r="C6" s="5" t="s">
        <v>50</v>
      </c>
      <c r="E6" s="5" t="s">
        <v>68</v>
      </c>
      <c r="F6" s="5" t="s">
        <v>49</v>
      </c>
      <c r="H6" s="5" t="s">
        <v>69</v>
      </c>
      <c r="I6" s="5" t="s">
        <v>49</v>
      </c>
      <c r="K6" s="5" t="s">
        <v>70</v>
      </c>
      <c r="L6" s="5" t="s">
        <v>65</v>
      </c>
      <c r="N6" s="5" t="s">
        <v>71</v>
      </c>
      <c r="O6" s="5" t="s">
        <v>49</v>
      </c>
    </row>
    <row r="7" customFormat="false" ht="15" hidden="false" customHeight="false" outlineLevel="0" collapsed="false">
      <c r="A7" s="5" t="s">
        <v>72</v>
      </c>
      <c r="B7" s="5" t="s">
        <v>49</v>
      </c>
      <c r="C7" s="5" t="s">
        <v>50</v>
      </c>
      <c r="E7" s="5" t="s">
        <v>73</v>
      </c>
      <c r="F7" s="5" t="s">
        <v>49</v>
      </c>
      <c r="H7" s="5" t="s">
        <v>74</v>
      </c>
      <c r="I7" s="5" t="s">
        <v>59</v>
      </c>
      <c r="N7" s="5" t="s">
        <v>75</v>
      </c>
      <c r="O7" s="5" t="s">
        <v>59</v>
      </c>
    </row>
    <row r="8" customFormat="false" ht="15" hidden="false" customHeight="false" outlineLevel="0" collapsed="false">
      <c r="A8" s="5" t="s">
        <v>76</v>
      </c>
      <c r="B8" s="5" t="s">
        <v>49</v>
      </c>
      <c r="C8" s="5" t="s">
        <v>50</v>
      </c>
      <c r="E8" s="5" t="s">
        <v>77</v>
      </c>
      <c r="F8" s="5" t="s">
        <v>49</v>
      </c>
      <c r="H8" s="5" t="s">
        <v>78</v>
      </c>
      <c r="I8" s="5" t="s">
        <v>59</v>
      </c>
      <c r="N8" s="5" t="s">
        <v>79</v>
      </c>
      <c r="O8" s="5" t="s">
        <v>65</v>
      </c>
    </row>
    <row r="9" customFormat="false" ht="15" hidden="false" customHeight="false" outlineLevel="0" collapsed="false">
      <c r="A9" s="5" t="s">
        <v>80</v>
      </c>
      <c r="B9" s="5" t="s">
        <v>49</v>
      </c>
      <c r="C9" s="5" t="s">
        <v>50</v>
      </c>
      <c r="E9" s="5" t="s">
        <v>81</v>
      </c>
      <c r="F9" s="5" t="s">
        <v>59</v>
      </c>
      <c r="H9" s="5" t="s">
        <v>82</v>
      </c>
      <c r="I9" s="5" t="s">
        <v>65</v>
      </c>
      <c r="N9" s="5" t="s">
        <v>83</v>
      </c>
      <c r="O9" s="5" t="s">
        <v>65</v>
      </c>
    </row>
    <row r="10" customFormat="false" ht="15" hidden="false" customHeight="false" outlineLevel="0" collapsed="false">
      <c r="A10" s="5" t="s">
        <v>84</v>
      </c>
      <c r="B10" s="5" t="s">
        <v>49</v>
      </c>
      <c r="C10" s="5" t="s">
        <v>50</v>
      </c>
      <c r="E10" s="5" t="s">
        <v>85</v>
      </c>
      <c r="F10" s="5" t="s">
        <v>59</v>
      </c>
      <c r="H10" s="5" t="s">
        <v>86</v>
      </c>
      <c r="I10" s="5" t="s">
        <v>65</v>
      </c>
    </row>
    <row r="11" customFormat="false" ht="15" hidden="false" customHeight="false" outlineLevel="0" collapsed="false">
      <c r="A11" s="5" t="s">
        <v>87</v>
      </c>
      <c r="B11" s="5" t="s">
        <v>49</v>
      </c>
      <c r="C11" s="5" t="s">
        <v>50</v>
      </c>
      <c r="E11" s="5" t="s">
        <v>88</v>
      </c>
      <c r="F11" s="5" t="s">
        <v>59</v>
      </c>
      <c r="H11" s="5" t="s">
        <v>89</v>
      </c>
      <c r="I11" s="5" t="s">
        <v>65</v>
      </c>
    </row>
    <row r="12" customFormat="false" ht="15" hidden="false" customHeight="false" outlineLevel="0" collapsed="false">
      <c r="A12" s="5" t="s">
        <v>90</v>
      </c>
      <c r="B12" s="5" t="s">
        <v>49</v>
      </c>
      <c r="C12" s="5" t="s">
        <v>50</v>
      </c>
      <c r="E12" s="5" t="s">
        <v>91</v>
      </c>
      <c r="F12" s="5" t="s">
        <v>59</v>
      </c>
      <c r="H12" s="5" t="s">
        <v>92</v>
      </c>
      <c r="I12" s="5" t="s">
        <v>65</v>
      </c>
    </row>
    <row r="13" customFormat="false" ht="15" hidden="false" customHeight="false" outlineLevel="0" collapsed="false">
      <c r="A13" s="5" t="s">
        <v>93</v>
      </c>
      <c r="B13" s="5" t="s">
        <v>59</v>
      </c>
      <c r="C13" s="5" t="s">
        <v>50</v>
      </c>
      <c r="E13" s="5" t="s">
        <v>94</v>
      </c>
      <c r="F13" s="5" t="s">
        <v>59</v>
      </c>
    </row>
    <row r="14" customFormat="false" ht="15" hidden="false" customHeight="false" outlineLevel="0" collapsed="false">
      <c r="A14" s="5" t="s">
        <v>95</v>
      </c>
      <c r="B14" s="5" t="s">
        <v>59</v>
      </c>
      <c r="C14" s="5" t="s">
        <v>50</v>
      </c>
      <c r="E14" s="5" t="s">
        <v>96</v>
      </c>
      <c r="F14" s="5" t="s">
        <v>59</v>
      </c>
    </row>
    <row r="15" customFormat="false" ht="15" hidden="false" customHeight="false" outlineLevel="0" collapsed="false">
      <c r="A15" s="5" t="s">
        <v>97</v>
      </c>
      <c r="B15" s="5" t="s">
        <v>59</v>
      </c>
      <c r="C15" s="5" t="s">
        <v>50</v>
      </c>
      <c r="E15" s="5" t="s">
        <v>98</v>
      </c>
      <c r="F15" s="5" t="s">
        <v>59</v>
      </c>
    </row>
    <row r="16" customFormat="false" ht="15" hidden="false" customHeight="false" outlineLevel="0" collapsed="false">
      <c r="A16" s="5" t="s">
        <v>99</v>
      </c>
      <c r="B16" s="5" t="s">
        <v>59</v>
      </c>
      <c r="C16" s="5" t="s">
        <v>50</v>
      </c>
      <c r="E16" s="5" t="s">
        <v>100</v>
      </c>
      <c r="F16" s="5" t="s">
        <v>65</v>
      </c>
    </row>
    <row r="17" customFormat="false" ht="15" hidden="false" customHeight="false" outlineLevel="0" collapsed="false">
      <c r="A17" s="5" t="s">
        <v>101</v>
      </c>
      <c r="B17" s="5" t="s">
        <v>59</v>
      </c>
      <c r="C17" s="5" t="s">
        <v>50</v>
      </c>
      <c r="E17" s="5" t="s">
        <v>102</v>
      </c>
      <c r="F17" s="5" t="s">
        <v>65</v>
      </c>
    </row>
    <row r="18" customFormat="false" ht="15" hidden="false" customHeight="false" outlineLevel="0" collapsed="false">
      <c r="A18" s="5" t="s">
        <v>103</v>
      </c>
      <c r="B18" s="5" t="s">
        <v>59</v>
      </c>
      <c r="C18" s="5" t="s">
        <v>50</v>
      </c>
      <c r="E18" s="5" t="s">
        <v>104</v>
      </c>
      <c r="F18" s="5" t="s">
        <v>65</v>
      </c>
    </row>
    <row r="19" customFormat="false" ht="15" hidden="false" customHeight="false" outlineLevel="0" collapsed="false">
      <c r="A19" s="5" t="s">
        <v>105</v>
      </c>
      <c r="B19" s="5" t="s">
        <v>59</v>
      </c>
      <c r="C19" s="5" t="s">
        <v>106</v>
      </c>
      <c r="E19" s="5" t="s">
        <v>107</v>
      </c>
      <c r="F19" s="5" t="s">
        <v>65</v>
      </c>
    </row>
    <row r="20" customFormat="false" ht="15" hidden="false" customHeight="false" outlineLevel="0" collapsed="false">
      <c r="A20" s="5" t="s">
        <v>108</v>
      </c>
      <c r="B20" s="5" t="s">
        <v>59</v>
      </c>
      <c r="C20" s="5" t="s">
        <v>106</v>
      </c>
      <c r="E20" s="5" t="s">
        <v>109</v>
      </c>
      <c r="F20" s="5" t="s">
        <v>65</v>
      </c>
    </row>
    <row r="21" customFormat="false" ht="15" hidden="false" customHeight="false" outlineLevel="0" collapsed="false">
      <c r="A21" s="5" t="s">
        <v>110</v>
      </c>
      <c r="B21" s="5" t="s">
        <v>59</v>
      </c>
      <c r="C21" s="5" t="s">
        <v>50</v>
      </c>
      <c r="E21" s="5" t="s">
        <v>111</v>
      </c>
      <c r="F21" s="5" t="s">
        <v>65</v>
      </c>
    </row>
    <row r="22" customFormat="false" ht="15" hidden="false" customHeight="false" outlineLevel="0" collapsed="false">
      <c r="A22" s="5" t="s">
        <v>112</v>
      </c>
      <c r="B22" s="5" t="s">
        <v>59</v>
      </c>
      <c r="C22" s="5" t="s">
        <v>50</v>
      </c>
      <c r="E22" s="5" t="s">
        <v>113</v>
      </c>
      <c r="F22" s="5" t="s">
        <v>65</v>
      </c>
    </row>
    <row r="23" customFormat="false" ht="15" hidden="false" customHeight="false" outlineLevel="0" collapsed="false">
      <c r="A23" s="5" t="s">
        <v>114</v>
      </c>
      <c r="B23" s="5" t="s">
        <v>65</v>
      </c>
      <c r="C23" s="5" t="s">
        <v>115</v>
      </c>
    </row>
    <row r="24" customFormat="false" ht="15" hidden="false" customHeight="false" outlineLevel="0" collapsed="false">
      <c r="A24" s="5" t="s">
        <v>116</v>
      </c>
      <c r="B24" s="5" t="s">
        <v>65</v>
      </c>
      <c r="C24" s="5" t="s">
        <v>115</v>
      </c>
    </row>
    <row r="25" customFormat="false" ht="15" hidden="false" customHeight="false" outlineLevel="0" collapsed="false">
      <c r="A25" s="5" t="s">
        <v>117</v>
      </c>
      <c r="B25" s="5" t="s">
        <v>65</v>
      </c>
      <c r="C25" s="5" t="s">
        <v>115</v>
      </c>
    </row>
    <row r="26" customFormat="false" ht="15" hidden="false" customHeight="false" outlineLevel="0" collapsed="false">
      <c r="A26" s="5" t="s">
        <v>118</v>
      </c>
      <c r="B26" s="5" t="s">
        <v>65</v>
      </c>
      <c r="C26" s="5" t="s">
        <v>115</v>
      </c>
    </row>
    <row r="27" customFormat="false" ht="15" hidden="false" customHeight="false" outlineLevel="0" collapsed="false">
      <c r="A27" s="5" t="s">
        <v>119</v>
      </c>
      <c r="B27" s="5" t="s">
        <v>65</v>
      </c>
      <c r="C27" s="5" t="s">
        <v>106</v>
      </c>
    </row>
    <row r="28" customFormat="false" ht="15" hidden="false" customHeight="false" outlineLevel="0" collapsed="false">
      <c r="A28" s="5" t="s">
        <v>120</v>
      </c>
      <c r="B28" s="5" t="s">
        <v>65</v>
      </c>
      <c r="C28" s="5" t="s">
        <v>106</v>
      </c>
    </row>
    <row r="29" customFormat="false" ht="15" hidden="false" customHeight="false" outlineLevel="0" collapsed="false">
      <c r="A29" s="5" t="s">
        <v>121</v>
      </c>
      <c r="B29" s="5" t="s">
        <v>65</v>
      </c>
      <c r="C29" s="5" t="s">
        <v>106</v>
      </c>
    </row>
    <row r="30" customFormat="false" ht="15" hidden="false" customHeight="false" outlineLevel="0" collapsed="false">
      <c r="A30" s="5" t="s">
        <v>122</v>
      </c>
      <c r="B30" s="5" t="s">
        <v>65</v>
      </c>
      <c r="C30" s="5" t="s">
        <v>106</v>
      </c>
    </row>
    <row r="31" customFormat="false" ht="15" hidden="false" customHeight="false" outlineLevel="0" collapsed="false">
      <c r="A31" s="5" t="s">
        <v>123</v>
      </c>
      <c r="B31" s="5" t="s">
        <v>65</v>
      </c>
      <c r="C31" s="5" t="s">
        <v>124</v>
      </c>
    </row>
    <row r="32" customFormat="false" ht="15" hidden="false" customHeight="false" outlineLevel="0" collapsed="false">
      <c r="A32" s="5" t="s">
        <v>125</v>
      </c>
      <c r="B32" s="5" t="s">
        <v>65</v>
      </c>
      <c r="C32" s="5"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30"/>
    <col collapsed="false" customWidth="true" hidden="false" outlineLevel="0" max="4" min="4" style="1" width="9"/>
    <col collapsed="false" customWidth="true" hidden="false" outlineLevel="0" max="5" min="5" style="1" width="32"/>
    <col collapsed="false" customWidth="true" hidden="false" outlineLevel="0" max="6" min="6" style="1" width="24"/>
    <col collapsed="false" customWidth="true" hidden="false" outlineLevel="0" max="7" min="7" style="1" width="30"/>
    <col collapsed="false" customWidth="true" hidden="false" outlineLevel="0" max="8" min="8" style="1" width="8"/>
    <col collapsed="false" customWidth="true" hidden="false" outlineLevel="0" max="9" min="9" style="1" width="12"/>
    <col collapsed="false" customWidth="true" hidden="false" outlineLevel="0" max="10" min="10" style="1" width="16"/>
    <col collapsed="false" customWidth="true" hidden="false" outlineLevel="0" max="11" min="11" style="1" width="14"/>
  </cols>
  <sheetData>
    <row r="1" customFormat="false" ht="35.05" hidden="false" customHeight="false" outlineLevel="0" collapsed="false">
      <c r="A1" s="4" t="s">
        <v>127</v>
      </c>
      <c r="B1" s="4" t="s">
        <v>128</v>
      </c>
      <c r="C1" s="4" t="s">
        <v>47</v>
      </c>
      <c r="D1" s="4" t="s">
        <v>41</v>
      </c>
      <c r="E1" s="4" t="s">
        <v>44</v>
      </c>
      <c r="F1" s="4" t="s">
        <v>45</v>
      </c>
      <c r="G1" s="4" t="s">
        <v>46</v>
      </c>
      <c r="H1" s="4" t="s">
        <v>129</v>
      </c>
      <c r="I1" s="4" t="s">
        <v>130</v>
      </c>
      <c r="J1" s="4" t="s">
        <v>131</v>
      </c>
      <c r="K1" s="4" t="s">
        <v>132</v>
      </c>
    </row>
    <row r="2" customFormat="false" ht="15" hidden="false" customHeight="false" outlineLevel="0" collapsed="false">
      <c r="A2" s="5" t="s">
        <v>133</v>
      </c>
      <c r="B2" s="5" t="s">
        <v>134</v>
      </c>
      <c r="C2" s="5" t="s">
        <v>54</v>
      </c>
      <c r="D2" s="5" t="s">
        <v>48</v>
      </c>
      <c r="E2" s="5" t="s">
        <v>62</v>
      </c>
      <c r="F2" s="5" t="s">
        <v>52</v>
      </c>
      <c r="G2" s="5" t="s">
        <v>53</v>
      </c>
      <c r="H2" s="5" t="n">
        <v>0</v>
      </c>
      <c r="I2" s="5" t="n">
        <v>0</v>
      </c>
      <c r="J2" s="9" t="n">
        <v>45000</v>
      </c>
      <c r="K2" s="5" t="s">
        <v>135</v>
      </c>
    </row>
    <row r="3" customFormat="false" ht="15" hidden="false" customHeight="false" outlineLevel="0" collapsed="false">
      <c r="A3" s="5" t="s">
        <v>136</v>
      </c>
      <c r="B3" s="5" t="s">
        <v>137</v>
      </c>
      <c r="C3" s="5" t="s">
        <v>54</v>
      </c>
      <c r="D3" s="5" t="s">
        <v>48</v>
      </c>
      <c r="E3" s="5" t="s">
        <v>68</v>
      </c>
      <c r="F3" s="5" t="s">
        <v>57</v>
      </c>
      <c r="G3" s="5" t="s">
        <v>53</v>
      </c>
      <c r="H3" s="5" t="n">
        <v>0</v>
      </c>
      <c r="I3" s="5" t="n">
        <v>0</v>
      </c>
      <c r="J3" s="9" t="n">
        <v>38000</v>
      </c>
      <c r="K3" s="5" t="s">
        <v>138</v>
      </c>
    </row>
    <row r="4" customFormat="false" ht="15" hidden="false" customHeight="false" outlineLevel="0" collapsed="false">
      <c r="A4" s="5" t="s">
        <v>139</v>
      </c>
      <c r="B4" s="5" t="s">
        <v>140</v>
      </c>
      <c r="C4" s="5" t="s">
        <v>54</v>
      </c>
      <c r="D4" s="5" t="s">
        <v>76</v>
      </c>
      <c r="E4" s="5" t="s">
        <v>73</v>
      </c>
      <c r="F4" s="5" t="s">
        <v>52</v>
      </c>
      <c r="G4" s="5" t="s">
        <v>58</v>
      </c>
      <c r="H4" s="5" t="n">
        <v>0</v>
      </c>
      <c r="I4" s="5" t="n">
        <v>0</v>
      </c>
      <c r="J4" s="9" t="n">
        <v>52000</v>
      </c>
      <c r="K4" s="5" t="s">
        <v>141</v>
      </c>
    </row>
    <row r="5" customFormat="false" ht="15" hidden="false" customHeight="false" outlineLevel="0" collapsed="false">
      <c r="A5" s="5" t="s">
        <v>142</v>
      </c>
      <c r="B5" s="5" t="s">
        <v>143</v>
      </c>
      <c r="C5" s="5" t="s">
        <v>75</v>
      </c>
      <c r="D5" s="5" t="s">
        <v>84</v>
      </c>
      <c r="E5" s="5" t="s">
        <v>113</v>
      </c>
      <c r="F5" s="5" t="s">
        <v>74</v>
      </c>
      <c r="G5" s="5" t="s">
        <v>53</v>
      </c>
      <c r="H5" s="5" t="n">
        <v>0</v>
      </c>
      <c r="I5" s="5" t="n">
        <v>0</v>
      </c>
      <c r="J5" s="9" t="n">
        <v>2500000</v>
      </c>
      <c r="K5" s="5" t="s">
        <v>144</v>
      </c>
    </row>
    <row r="6" customFormat="false" ht="15" hidden="false" customHeight="false" outlineLevel="0" collapsed="false">
      <c r="A6" s="5" t="s">
        <v>145</v>
      </c>
      <c r="B6" s="5" t="s">
        <v>146</v>
      </c>
      <c r="C6" s="5" t="s">
        <v>60</v>
      </c>
      <c r="D6" s="5" t="s">
        <v>87</v>
      </c>
      <c r="E6" s="5" t="s">
        <v>98</v>
      </c>
      <c r="F6" s="5" t="s">
        <v>52</v>
      </c>
      <c r="G6" s="5" t="s">
        <v>58</v>
      </c>
      <c r="H6" s="5" t="n">
        <v>0</v>
      </c>
      <c r="I6" s="5" t="n">
        <v>0</v>
      </c>
      <c r="J6" s="9" t="n">
        <v>90000</v>
      </c>
      <c r="K6" s="5" t="s">
        <v>147</v>
      </c>
    </row>
    <row r="7" customFormat="false" ht="15" hidden="false" customHeight="false" outlineLevel="0" collapsed="false">
      <c r="A7" s="5" t="s">
        <v>148</v>
      </c>
      <c r="B7" s="5" t="s">
        <v>149</v>
      </c>
      <c r="C7" s="5" t="s">
        <v>54</v>
      </c>
      <c r="D7" s="5" t="s">
        <v>93</v>
      </c>
      <c r="E7" s="5" t="s">
        <v>62</v>
      </c>
      <c r="F7" s="5" t="s">
        <v>52</v>
      </c>
      <c r="G7" s="5" t="s">
        <v>58</v>
      </c>
      <c r="H7" s="5" t="n">
        <v>0</v>
      </c>
      <c r="I7" s="5" t="n">
        <v>0</v>
      </c>
      <c r="J7" s="9" t="n">
        <v>30000</v>
      </c>
      <c r="K7" s="5" t="s">
        <v>150</v>
      </c>
    </row>
    <row r="8" customFormat="false" ht="15" hidden="false" customHeight="false" outlineLevel="0" collapsed="false">
      <c r="A8" s="5" t="s">
        <v>151</v>
      </c>
      <c r="B8" s="5" t="s">
        <v>152</v>
      </c>
      <c r="C8" s="5" t="s">
        <v>75</v>
      </c>
      <c r="D8" s="5" t="s">
        <v>61</v>
      </c>
      <c r="E8" s="5" t="s">
        <v>94</v>
      </c>
      <c r="F8" s="5" t="s">
        <v>52</v>
      </c>
      <c r="G8" s="5" t="s">
        <v>53</v>
      </c>
      <c r="H8" s="5" t="n">
        <v>0</v>
      </c>
      <c r="I8" s="5" t="n">
        <v>0</v>
      </c>
      <c r="J8" s="9" t="n">
        <v>780000</v>
      </c>
      <c r="K8" s="5" t="s">
        <v>153</v>
      </c>
    </row>
    <row r="9" customFormat="false" ht="15" hidden="false" customHeight="false" outlineLevel="0" collapsed="false">
      <c r="A9" s="5" t="s">
        <v>154</v>
      </c>
      <c r="B9" s="5" t="s">
        <v>155</v>
      </c>
      <c r="C9" s="5" t="s">
        <v>60</v>
      </c>
      <c r="D9" s="5" t="s">
        <v>103</v>
      </c>
      <c r="E9" s="5" t="s">
        <v>88</v>
      </c>
      <c r="F9" s="5" t="s">
        <v>78</v>
      </c>
      <c r="G9" s="5" t="s">
        <v>53</v>
      </c>
      <c r="H9" s="5" t="n">
        <v>0</v>
      </c>
      <c r="I9" s="5" t="n">
        <v>0</v>
      </c>
      <c r="J9" s="9" t="n">
        <v>610000</v>
      </c>
      <c r="K9" s="5" t="s">
        <v>156</v>
      </c>
    </row>
    <row r="10" customFormat="false" ht="15" hidden="false" customHeight="false" outlineLevel="0" collapsed="false">
      <c r="A10" s="5" t="s">
        <v>157</v>
      </c>
      <c r="B10" s="5" t="s">
        <v>158</v>
      </c>
      <c r="C10" s="5" t="s">
        <v>54</v>
      </c>
      <c r="D10" s="5" t="s">
        <v>76</v>
      </c>
      <c r="E10" s="5" t="s">
        <v>77</v>
      </c>
      <c r="F10" s="5" t="s">
        <v>52</v>
      </c>
      <c r="G10" s="5" t="s">
        <v>53</v>
      </c>
      <c r="H10" s="5" t="n">
        <v>1</v>
      </c>
      <c r="I10" s="5" t="n">
        <v>0</v>
      </c>
      <c r="J10" s="9" t="n">
        <v>60000</v>
      </c>
      <c r="K10" s="5" t="s">
        <v>159</v>
      </c>
    </row>
    <row r="11" customFormat="false" ht="15" hidden="false" customHeight="false" outlineLevel="0" collapsed="false">
      <c r="A11" s="5" t="s">
        <v>160</v>
      </c>
      <c r="B11" s="5" t="s">
        <v>161</v>
      </c>
      <c r="C11" s="5" t="s">
        <v>79</v>
      </c>
      <c r="D11" s="5" t="s">
        <v>103</v>
      </c>
      <c r="E11" s="5" t="s">
        <v>104</v>
      </c>
      <c r="F11" s="5" t="s">
        <v>86</v>
      </c>
      <c r="G11" s="5" t="s">
        <v>70</v>
      </c>
      <c r="H11" s="5" t="n">
        <v>0</v>
      </c>
      <c r="I11" s="5" t="n">
        <v>0</v>
      </c>
      <c r="J11" s="9" t="n">
        <v>4200000</v>
      </c>
      <c r="K11" s="5" t="s">
        <v>162</v>
      </c>
    </row>
    <row r="12" customFormat="false" ht="15" hidden="false" customHeight="false" outlineLevel="0" collapsed="false">
      <c r="A12" s="5" t="s">
        <v>163</v>
      </c>
      <c r="B12" s="5" t="s">
        <v>164</v>
      </c>
      <c r="C12" s="5" t="s">
        <v>60</v>
      </c>
      <c r="D12" s="5" t="s">
        <v>105</v>
      </c>
      <c r="E12" s="5" t="s">
        <v>91</v>
      </c>
      <c r="F12" s="5" t="s">
        <v>82</v>
      </c>
      <c r="G12" s="5" t="s">
        <v>64</v>
      </c>
      <c r="H12" s="5" t="n">
        <v>0</v>
      </c>
      <c r="I12" s="5" t="n">
        <v>1</v>
      </c>
      <c r="J12" s="9" t="n">
        <v>350000</v>
      </c>
      <c r="K12" s="5" t="s">
        <v>165</v>
      </c>
    </row>
    <row r="13" customFormat="false" ht="15" hidden="false" customHeight="false" outlineLevel="0" collapsed="false">
      <c r="A13" s="5" t="s">
        <v>166</v>
      </c>
      <c r="B13" s="5" t="s">
        <v>167</v>
      </c>
      <c r="C13" s="5" t="s">
        <v>54</v>
      </c>
      <c r="D13" s="5" t="s">
        <v>97</v>
      </c>
      <c r="E13" s="5" t="s">
        <v>56</v>
      </c>
      <c r="F13" s="5" t="s">
        <v>52</v>
      </c>
      <c r="G13" s="5" t="s">
        <v>53</v>
      </c>
      <c r="H13" s="5" t="n">
        <v>0</v>
      </c>
      <c r="I13" s="5" t="n">
        <v>0</v>
      </c>
      <c r="J13" s="9" t="n">
        <v>28000</v>
      </c>
      <c r="K13" s="5" t="s">
        <v>168</v>
      </c>
    </row>
    <row r="14" customFormat="false" ht="15" hidden="false" customHeight="false" outlineLevel="0" collapsed="false">
      <c r="A14" s="5" t="s">
        <v>169</v>
      </c>
      <c r="B14" s="5" t="s">
        <v>170</v>
      </c>
      <c r="C14" s="5" t="s">
        <v>79</v>
      </c>
      <c r="D14" s="5" t="s">
        <v>123</v>
      </c>
      <c r="E14" s="5" t="s">
        <v>107</v>
      </c>
      <c r="F14" s="5" t="s">
        <v>89</v>
      </c>
      <c r="G14" s="5" t="s">
        <v>64</v>
      </c>
      <c r="H14" s="5" t="n">
        <v>0</v>
      </c>
      <c r="I14" s="5" t="n">
        <v>0</v>
      </c>
      <c r="J14" s="9" t="n">
        <v>8900000</v>
      </c>
      <c r="K14" s="5" t="s">
        <v>171</v>
      </c>
    </row>
    <row r="15" customFormat="false" ht="15" hidden="false" customHeight="false" outlineLevel="0" collapsed="false">
      <c r="A15" s="5" t="s">
        <v>172</v>
      </c>
      <c r="B15" s="5" t="s">
        <v>173</v>
      </c>
      <c r="C15" s="5" t="s">
        <v>54</v>
      </c>
      <c r="D15" s="5" t="s">
        <v>67</v>
      </c>
      <c r="E15" s="5" t="s">
        <v>81</v>
      </c>
      <c r="F15" s="5" t="s">
        <v>57</v>
      </c>
      <c r="G15" s="5" t="s">
        <v>53</v>
      </c>
      <c r="H15" s="5" t="n">
        <v>0</v>
      </c>
      <c r="I15" s="5" t="n">
        <v>0</v>
      </c>
      <c r="J15" s="9" t="n">
        <v>41000</v>
      </c>
      <c r="K15" s="5" t="s">
        <v>174</v>
      </c>
    </row>
    <row r="16" customFormat="false" ht="15" hidden="false" customHeight="false" outlineLevel="0" collapsed="false">
      <c r="A16" s="5" t="s">
        <v>175</v>
      </c>
      <c r="B16" s="5" t="s">
        <v>176</v>
      </c>
      <c r="C16" s="5" t="s">
        <v>60</v>
      </c>
      <c r="D16" s="5" t="s">
        <v>103</v>
      </c>
      <c r="E16" s="5" t="s">
        <v>96</v>
      </c>
      <c r="F16" s="5" t="s">
        <v>52</v>
      </c>
      <c r="G16" s="5" t="s">
        <v>58</v>
      </c>
      <c r="H16" s="5" t="n">
        <v>0</v>
      </c>
      <c r="I16" s="5" t="n">
        <v>0</v>
      </c>
      <c r="J16" s="9" t="n">
        <v>120000</v>
      </c>
      <c r="K16" s="5" t="s">
        <v>177</v>
      </c>
    </row>
    <row r="17" customFormat="false" ht="15" hidden="false" customHeight="false" outlineLevel="0" collapsed="false">
      <c r="A17" s="5" t="s">
        <v>178</v>
      </c>
      <c r="B17" s="5" t="s">
        <v>179</v>
      </c>
      <c r="C17" s="5" t="s">
        <v>83</v>
      </c>
      <c r="D17" s="5" t="s">
        <v>123</v>
      </c>
      <c r="E17" s="5" t="s">
        <v>98</v>
      </c>
      <c r="F17" s="5" t="s">
        <v>78</v>
      </c>
      <c r="G17" s="5" t="s">
        <v>70</v>
      </c>
      <c r="H17" s="5" t="n">
        <v>0</v>
      </c>
      <c r="I17" s="5" t="n">
        <v>0</v>
      </c>
      <c r="J17" s="9" t="n">
        <v>3100000</v>
      </c>
      <c r="K17" s="5" t="s">
        <v>180</v>
      </c>
    </row>
    <row r="18" customFormat="false" ht="15" hidden="false" customHeight="false" outlineLevel="0" collapsed="false">
      <c r="A18" s="5" t="s">
        <v>181</v>
      </c>
      <c r="B18" s="5" t="s">
        <v>182</v>
      </c>
      <c r="C18" s="5" t="s">
        <v>54</v>
      </c>
      <c r="D18" s="5" t="s">
        <v>61</v>
      </c>
      <c r="E18" s="5" t="s">
        <v>73</v>
      </c>
      <c r="F18" s="5" t="s">
        <v>52</v>
      </c>
      <c r="G18" s="5" t="s">
        <v>53</v>
      </c>
      <c r="H18" s="5" t="n">
        <v>0</v>
      </c>
      <c r="I18" s="5" t="n">
        <v>0</v>
      </c>
      <c r="J18" s="9" t="n">
        <v>33000</v>
      </c>
      <c r="K18" s="5" t="s">
        <v>183</v>
      </c>
    </row>
    <row r="19" customFormat="false" ht="15" hidden="false" customHeight="false" outlineLevel="0" collapsed="false">
      <c r="A19" s="5" t="s">
        <v>184</v>
      </c>
      <c r="B19" s="5" t="s">
        <v>185</v>
      </c>
      <c r="C19" s="5" t="s">
        <v>60</v>
      </c>
      <c r="D19" s="5" t="s">
        <v>125</v>
      </c>
      <c r="E19" s="5" t="s">
        <v>100</v>
      </c>
      <c r="F19" s="5" t="s">
        <v>82</v>
      </c>
      <c r="G19" s="5" t="s">
        <v>64</v>
      </c>
      <c r="H19" s="5" t="n">
        <v>0</v>
      </c>
      <c r="I19" s="5" t="n">
        <v>0</v>
      </c>
      <c r="J19" s="9" t="n">
        <v>970000</v>
      </c>
      <c r="K19" s="5" t="s">
        <v>186</v>
      </c>
    </row>
    <row r="20" customFormat="false" ht="15" hidden="false" customHeight="false" outlineLevel="0" collapsed="false">
      <c r="A20" s="5" t="s">
        <v>187</v>
      </c>
      <c r="B20" s="5" t="s">
        <v>188</v>
      </c>
      <c r="C20" s="5" t="s">
        <v>71</v>
      </c>
      <c r="D20" s="5" t="s">
        <v>97</v>
      </c>
      <c r="E20" s="5" t="s">
        <v>77</v>
      </c>
      <c r="F20" s="5" t="s">
        <v>52</v>
      </c>
      <c r="G20" s="5" t="s">
        <v>53</v>
      </c>
      <c r="H20" s="5" t="n">
        <v>1</v>
      </c>
      <c r="I20" s="5" t="n">
        <v>0</v>
      </c>
      <c r="J20" s="9" t="n">
        <v>15000</v>
      </c>
      <c r="K20" s="5" t="s">
        <v>189</v>
      </c>
    </row>
    <row r="21" customFormat="false" ht="15" hidden="false" customHeight="false" outlineLevel="0" collapsed="false">
      <c r="A21" s="5" t="s">
        <v>190</v>
      </c>
      <c r="B21" s="5" t="s">
        <v>191</v>
      </c>
      <c r="C21" s="5" t="s">
        <v>54</v>
      </c>
      <c r="D21" s="5" t="s">
        <v>90</v>
      </c>
      <c r="E21" s="5" t="s">
        <v>68</v>
      </c>
      <c r="F21" s="5" t="s">
        <v>57</v>
      </c>
      <c r="G21" s="5" t="s">
        <v>53</v>
      </c>
      <c r="H21" s="5" t="n">
        <v>0</v>
      </c>
      <c r="I21" s="5" t="n">
        <v>0</v>
      </c>
      <c r="J21" s="9" t="n">
        <v>47000</v>
      </c>
      <c r="K21" s="5" t="s">
        <v>192</v>
      </c>
    </row>
    <row r="22" customFormat="false" ht="15" hidden="false" customHeight="false" outlineLevel="0" collapsed="false">
      <c r="A22" s="5" t="s">
        <v>193</v>
      </c>
      <c r="B22" s="5" t="s">
        <v>194</v>
      </c>
      <c r="C22" s="5" t="s">
        <v>79</v>
      </c>
      <c r="D22" s="5" t="s">
        <v>103</v>
      </c>
      <c r="E22" s="5" t="s">
        <v>111</v>
      </c>
      <c r="F22" s="5" t="s">
        <v>92</v>
      </c>
      <c r="G22" s="5" t="s">
        <v>70</v>
      </c>
      <c r="H22" s="5" t="n">
        <v>0</v>
      </c>
      <c r="I22" s="5" t="n">
        <v>0</v>
      </c>
      <c r="J22" s="9" t="n">
        <v>1850000</v>
      </c>
      <c r="K22" s="5" t="s">
        <v>195</v>
      </c>
    </row>
    <row r="23" customFormat="false" ht="15" hidden="false" customHeight="false" outlineLevel="0" collapsed="false">
      <c r="A23" s="5" t="s">
        <v>196</v>
      </c>
      <c r="B23" s="5" t="s">
        <v>197</v>
      </c>
      <c r="C23" s="5" t="s">
        <v>54</v>
      </c>
      <c r="D23" s="5" t="s">
        <v>93</v>
      </c>
      <c r="E23" s="5" t="s">
        <v>81</v>
      </c>
      <c r="F23" s="5" t="s">
        <v>52</v>
      </c>
      <c r="G23" s="5" t="s">
        <v>58</v>
      </c>
      <c r="H23" s="5" t="n">
        <v>0</v>
      </c>
      <c r="I23" s="5" t="n">
        <v>0</v>
      </c>
      <c r="J23" s="9" t="n">
        <v>36000</v>
      </c>
      <c r="K23" s="5" t="s">
        <v>198</v>
      </c>
    </row>
    <row r="24" customFormat="false" ht="15" hidden="false" customHeight="false" outlineLevel="0" collapsed="false">
      <c r="A24" s="5" t="s">
        <v>199</v>
      </c>
      <c r="B24" s="5" t="s">
        <v>200</v>
      </c>
      <c r="C24" s="5" t="s">
        <v>66</v>
      </c>
      <c r="D24" s="5" t="s">
        <v>67</v>
      </c>
      <c r="E24" s="5" t="s">
        <v>81</v>
      </c>
      <c r="F24" s="5" t="s">
        <v>74</v>
      </c>
      <c r="G24" s="5" t="s">
        <v>53</v>
      </c>
      <c r="H24" s="5" t="n">
        <v>0</v>
      </c>
      <c r="I24" s="5" t="n">
        <v>0</v>
      </c>
      <c r="J24" s="9" t="n">
        <v>12500000</v>
      </c>
      <c r="K24" s="5" t="s">
        <v>201</v>
      </c>
    </row>
    <row r="25" customFormat="false" ht="15" hidden="false" customHeight="false" outlineLevel="0" collapsed="false">
      <c r="A25" s="5" t="s">
        <v>202</v>
      </c>
      <c r="B25" s="5" t="s">
        <v>203</v>
      </c>
      <c r="C25" s="5" t="s">
        <v>60</v>
      </c>
      <c r="D25" s="5" t="s">
        <v>114</v>
      </c>
      <c r="E25" s="5" t="s">
        <v>91</v>
      </c>
      <c r="F25" s="5" t="s">
        <v>82</v>
      </c>
      <c r="G25" s="5" t="s">
        <v>64</v>
      </c>
      <c r="H25" s="5" t="n">
        <v>0</v>
      </c>
      <c r="I25" s="5" t="n">
        <v>0</v>
      </c>
      <c r="J25" s="9" t="n">
        <v>410000</v>
      </c>
      <c r="K25" s="5" t="s">
        <v>204</v>
      </c>
    </row>
    <row r="26" customFormat="false" ht="15" hidden="false" customHeight="false" outlineLevel="0" collapsed="false">
      <c r="A26" s="5" t="s">
        <v>205</v>
      </c>
      <c r="B26" s="5" t="s">
        <v>206</v>
      </c>
      <c r="C26" s="5" t="s">
        <v>54</v>
      </c>
      <c r="D26" s="5" t="s">
        <v>72</v>
      </c>
      <c r="E26" s="5" t="s">
        <v>62</v>
      </c>
      <c r="F26" s="5" t="s">
        <v>52</v>
      </c>
      <c r="G26" s="5" t="s">
        <v>53</v>
      </c>
      <c r="H26" s="5" t="n">
        <v>0</v>
      </c>
      <c r="I26" s="5" t="n">
        <v>0</v>
      </c>
      <c r="J26" s="9" t="n">
        <v>39000</v>
      </c>
      <c r="K26" s="5" t="s">
        <v>207</v>
      </c>
    </row>
  </sheetData>
  <autoFilter ref="A1:K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6" min="5" style="1" width="13"/>
    <col collapsed="false" customWidth="true" hidden="false" outlineLevel="0" max="7" min="7" style="1" width="16"/>
    <col collapsed="false" customWidth="true" hidden="false" outlineLevel="0" max="8" min="8" style="1" width="12"/>
    <col collapsed="false" customWidth="true" hidden="false" outlineLevel="0" max="9" min="9" style="1" width="10"/>
    <col collapsed="false" customWidth="true" hidden="false" outlineLevel="0" max="10" min="10" style="1" width="8"/>
    <col collapsed="false" customWidth="true" hidden="false" outlineLevel="0" max="11" min="11" style="1" width="14"/>
    <col collapsed="false" customWidth="true" hidden="false" outlineLevel="0" max="12" min="12" style="1" width="20"/>
    <col collapsed="false" customWidth="true" hidden="false" outlineLevel="0" max="13" min="13" style="1" width="14"/>
    <col collapsed="false" customWidth="true" hidden="false" outlineLevel="0" max="14" min="14" style="1" width="28"/>
    <col collapsed="false" customWidth="true" hidden="false" outlineLevel="0" max="15" min="15" style="1" width="18"/>
  </cols>
  <sheetData>
    <row r="1" customFormat="false" ht="23.85" hidden="false" customHeight="false" outlineLevel="0" collapsed="false">
      <c r="A1" s="4" t="s">
        <v>127</v>
      </c>
      <c r="B1" s="4" t="s">
        <v>128</v>
      </c>
      <c r="C1" s="4" t="s">
        <v>208</v>
      </c>
      <c r="D1" s="4" t="s">
        <v>209</v>
      </c>
      <c r="E1" s="4" t="s">
        <v>210</v>
      </c>
      <c r="F1" s="4" t="s">
        <v>211</v>
      </c>
      <c r="G1" s="4" t="s">
        <v>212</v>
      </c>
      <c r="H1" s="4" t="s">
        <v>213</v>
      </c>
      <c r="I1" s="4" t="s">
        <v>214</v>
      </c>
      <c r="J1" s="4" t="s">
        <v>129</v>
      </c>
      <c r="K1" s="4" t="s">
        <v>130</v>
      </c>
      <c r="L1" s="4" t="s">
        <v>215</v>
      </c>
      <c r="M1" s="4" t="s">
        <v>216</v>
      </c>
      <c r="N1" s="4" t="s">
        <v>217</v>
      </c>
      <c r="O1" s="4" t="s">
        <v>218</v>
      </c>
    </row>
    <row r="2" customFormat="false" ht="15" hidden="false" customHeight="false" outlineLevel="0" collapsed="false">
      <c r="A2" s="5" t="s">
        <v>133</v>
      </c>
      <c r="B2" s="5" t="s">
        <v>134</v>
      </c>
      <c r="C2" s="5" t="str">
        <f aca="false">INDEX(Reference_Tables!$B$3:$B$32,MATCH(Customers!D2,Reference_Tables!$A$3:$A$32,0))</f>
        <v>Low</v>
      </c>
      <c r="D2" s="5" t="str">
        <f aca="false">INDEX(Reference_Tables!$F$3:$F$22,MATCH(Customers!E2,Reference_Tables!$E$3:$E$22,0))</f>
        <v>Low</v>
      </c>
      <c r="E2" s="5" t="str">
        <f aca="false">INDEX(Reference_Tables!$I$3:$I$12,MATCH(Customers!F2,Reference_Tables!$H$3:$H$12,0))</f>
        <v>Low</v>
      </c>
      <c r="F2" s="5" t="str">
        <f aca="false">INDEX(Reference_Tables!$L$3:$L$6,MATCH(Customers!G2,Reference_Tables!$K$3:$K$6,0))</f>
        <v>Low</v>
      </c>
      <c r="G2" s="5" t="str">
        <f aca="false">INDEX(Reference_Tables!$O$3:$O$9,MATCH(Customers!C2,Reference_Tables!$N$3:$N$9,0))</f>
        <v>Low</v>
      </c>
      <c r="H2" s="10" t="n">
        <f aca="false">(IF(C2="Low",1,IF(C2="Medium",2,3)))*Risk_Weights!$B$2+(IF(D2="Low",1,IF(D2="Medium",2,3)))*Risk_Weights!$B$3+(IF(E2="Low",1,IF(E2="Medium",2,3)))*Risk_Weights!$B$4+(IF(G2="Low",1,IF(G2="Medium",2,3)))*Risk_Weights!$B$5+(IF(F2="Low",1,IF(F2="Medium",2,3)))*Risk_Weights!$B$6</f>
        <v>1</v>
      </c>
      <c r="I2" s="5" t="str">
        <f aca="false">IF(H2&gt;=2.3,"High",IF(H2&gt;=1.6,"Medium","Low"))</f>
        <v>Low</v>
      </c>
      <c r="J2" s="5" t="n">
        <f aca="false">Customers!H2</f>
        <v>0</v>
      </c>
      <c r="K2" s="5" t="n">
        <f aca="false">Customers!I2</f>
        <v>0</v>
      </c>
      <c r="L2" s="5" t="str">
        <f aca="false">IF(J2=1,"PEP override",IF(K2=1,"Adverse media override",""))</f>
        <v/>
      </c>
      <c r="M2" s="5" t="str">
        <f aca="false">IF(OR(J2=1,K2=1),"High",I2)</f>
        <v>Low</v>
      </c>
      <c r="N2" s="5" t="str">
        <f aca="false">IF(M2="High","Enhanced Due Diligence (EDD)",IF(M2="Medium","Standard CDD + enhanced monitoring","Simplified/Standard CDD"))</f>
        <v>Simplified/Standard CDD</v>
      </c>
      <c r="O2" s="5" t="str">
        <f aca="false">IF(M2="High","Annual review",IF(M2="Medium","Review every 2 years","Review every 3 years"))</f>
        <v>Review every 3 years</v>
      </c>
    </row>
    <row r="3" customFormat="false" ht="15" hidden="false" customHeight="false" outlineLevel="0" collapsed="false">
      <c r="A3" s="5" t="s">
        <v>136</v>
      </c>
      <c r="B3" s="5" t="s">
        <v>137</v>
      </c>
      <c r="C3" s="5" t="str">
        <f aca="false">INDEX(Reference_Tables!$B$3:$B$32,MATCH(Customers!D3,Reference_Tables!$A$3:$A$32,0))</f>
        <v>Low</v>
      </c>
      <c r="D3" s="5" t="str">
        <f aca="false">INDEX(Reference_Tables!$F$3:$F$22,MATCH(Customers!E3,Reference_Tables!$E$3:$E$22,0))</f>
        <v>Low</v>
      </c>
      <c r="E3" s="5" t="str">
        <f aca="false">INDEX(Reference_Tables!$I$3:$I$12,MATCH(Customers!F3,Reference_Tables!$H$3:$H$12,0))</f>
        <v>Low</v>
      </c>
      <c r="F3" s="5" t="str">
        <f aca="false">INDEX(Reference_Tables!$L$3:$L$6,MATCH(Customers!G3,Reference_Tables!$K$3:$K$6,0))</f>
        <v>Low</v>
      </c>
      <c r="G3" s="5" t="str">
        <f aca="false">INDEX(Reference_Tables!$O$3:$O$9,MATCH(Customers!C3,Reference_Tables!$N$3:$N$9,0))</f>
        <v>Low</v>
      </c>
      <c r="H3" s="10" t="n">
        <f aca="false">(IF(C3="Low",1,IF(C3="Medium",2,3)))*Risk_Weights!$B$2+(IF(D3="Low",1,IF(D3="Medium",2,3)))*Risk_Weights!$B$3+(IF(E3="Low",1,IF(E3="Medium",2,3)))*Risk_Weights!$B$4+(IF(G3="Low",1,IF(G3="Medium",2,3)))*Risk_Weights!$B$5+(IF(F3="Low",1,IF(F3="Medium",2,3)))*Risk_Weights!$B$6</f>
        <v>1</v>
      </c>
      <c r="I3" s="5" t="str">
        <f aca="false">IF(H3&gt;=2.3,"High",IF(H3&gt;=1.6,"Medium","Low"))</f>
        <v>Low</v>
      </c>
      <c r="J3" s="5" t="n">
        <f aca="false">Customers!H3</f>
        <v>0</v>
      </c>
      <c r="K3" s="5" t="n">
        <f aca="false">Customers!I3</f>
        <v>0</v>
      </c>
      <c r="L3" s="5" t="str">
        <f aca="false">IF(J3=1,"PEP override",IF(K3=1,"Adverse media override",""))</f>
        <v/>
      </c>
      <c r="M3" s="5" t="str">
        <f aca="false">IF(OR(J3=1,K3=1),"High",I3)</f>
        <v>Low</v>
      </c>
      <c r="N3" s="5" t="str">
        <f aca="false">IF(M3="High","Enhanced Due Diligence (EDD)",IF(M3="Medium","Standard CDD + enhanced monitoring","Simplified/Standard CDD"))</f>
        <v>Simplified/Standard CDD</v>
      </c>
      <c r="O3" s="5" t="str">
        <f aca="false">IF(M3="High","Annual review",IF(M3="Medium","Review every 2 years","Review every 3 years"))</f>
        <v>Review every 3 years</v>
      </c>
    </row>
    <row r="4" customFormat="false" ht="15" hidden="false" customHeight="false" outlineLevel="0" collapsed="false">
      <c r="A4" s="5" t="s">
        <v>139</v>
      </c>
      <c r="B4" s="5" t="s">
        <v>140</v>
      </c>
      <c r="C4" s="5" t="str">
        <f aca="false">INDEX(Reference_Tables!$B$3:$B$32,MATCH(Customers!D4,Reference_Tables!$A$3:$A$32,0))</f>
        <v>Low</v>
      </c>
      <c r="D4" s="5" t="str">
        <f aca="false">INDEX(Reference_Tables!$F$3:$F$22,MATCH(Customers!E4,Reference_Tables!$E$3:$E$22,0))</f>
        <v>Low</v>
      </c>
      <c r="E4" s="5" t="str">
        <f aca="false">INDEX(Reference_Tables!$I$3:$I$12,MATCH(Customers!F4,Reference_Tables!$H$3:$H$12,0))</f>
        <v>Low</v>
      </c>
      <c r="F4" s="5" t="str">
        <f aca="false">INDEX(Reference_Tables!$L$3:$L$6,MATCH(Customers!G4,Reference_Tables!$K$3:$K$6,0))</f>
        <v>Medium</v>
      </c>
      <c r="G4" s="5" t="str">
        <f aca="false">INDEX(Reference_Tables!$O$3:$O$9,MATCH(Customers!C4,Reference_Tables!$N$3:$N$9,0))</f>
        <v>Low</v>
      </c>
      <c r="H4" s="10" t="n">
        <f aca="false">(IF(C4="Low",1,IF(C4="Medium",2,3)))*Risk_Weights!$B$2+(IF(D4="Low",1,IF(D4="Medium",2,3)))*Risk_Weights!$B$3+(IF(E4="Low",1,IF(E4="Medium",2,3)))*Risk_Weights!$B$4+(IF(G4="Low",1,IF(G4="Medium",2,3)))*Risk_Weights!$B$5+(IF(F4="Low",1,IF(F4="Medium",2,3)))*Risk_Weights!$B$6</f>
        <v>1.2</v>
      </c>
      <c r="I4" s="5" t="str">
        <f aca="false">IF(H4&gt;=2.3,"High",IF(H4&gt;=1.6,"Medium","Low"))</f>
        <v>Low</v>
      </c>
      <c r="J4" s="5" t="n">
        <f aca="false">Customers!H4</f>
        <v>0</v>
      </c>
      <c r="K4" s="5" t="n">
        <f aca="false">Customers!I4</f>
        <v>0</v>
      </c>
      <c r="L4" s="5" t="str">
        <f aca="false">IF(J4=1,"PEP override",IF(K4=1,"Adverse media override",""))</f>
        <v/>
      </c>
      <c r="M4" s="5" t="str">
        <f aca="false">IF(OR(J4=1,K4=1),"High",I4)</f>
        <v>Low</v>
      </c>
      <c r="N4" s="5" t="str">
        <f aca="false">IF(M4="High","Enhanced Due Diligence (EDD)",IF(M4="Medium","Standard CDD + enhanced monitoring","Simplified/Standard CDD"))</f>
        <v>Simplified/Standard CDD</v>
      </c>
      <c r="O4" s="5" t="str">
        <f aca="false">IF(M4="High","Annual review",IF(M4="Medium","Review every 2 years","Review every 3 years"))</f>
        <v>Review every 3 years</v>
      </c>
    </row>
    <row r="5" customFormat="false" ht="15" hidden="false" customHeight="false" outlineLevel="0" collapsed="false">
      <c r="A5" s="5" t="s">
        <v>142</v>
      </c>
      <c r="B5" s="5" t="s">
        <v>143</v>
      </c>
      <c r="C5" s="5" t="str">
        <f aca="false">INDEX(Reference_Tables!$B$3:$B$32,MATCH(Customers!D5,Reference_Tables!$A$3:$A$32,0))</f>
        <v>Low</v>
      </c>
      <c r="D5" s="5" t="str">
        <f aca="false">INDEX(Reference_Tables!$F$3:$F$22,MATCH(Customers!E5,Reference_Tables!$E$3:$E$22,0))</f>
        <v>High</v>
      </c>
      <c r="E5" s="5" t="str">
        <f aca="false">INDEX(Reference_Tables!$I$3:$I$12,MATCH(Customers!F5,Reference_Tables!$H$3:$H$12,0))</f>
        <v>Medium</v>
      </c>
      <c r="F5" s="5" t="str">
        <f aca="false">INDEX(Reference_Tables!$L$3:$L$6,MATCH(Customers!G5,Reference_Tables!$K$3:$K$6,0))</f>
        <v>Low</v>
      </c>
      <c r="G5" s="5" t="str">
        <f aca="false">INDEX(Reference_Tables!$O$3:$O$9,MATCH(Customers!C5,Reference_Tables!$N$3:$N$9,0))</f>
        <v>Medium</v>
      </c>
      <c r="H5" s="10" t="n">
        <f aca="false">(IF(C5="Low",1,IF(C5="Medium",2,3)))*Risk_Weights!$B$2+(IF(D5="Low",1,IF(D5="Medium",2,3)))*Risk_Weights!$B$3+(IF(E5="Low",1,IF(E5="Medium",2,3)))*Risk_Weights!$B$4+(IF(G5="Low",1,IF(G5="Medium",2,3)))*Risk_Weights!$B$5+(IF(F5="Low",1,IF(F5="Medium",2,3)))*Risk_Weights!$B$6</f>
        <v>1.75</v>
      </c>
      <c r="I5" s="5" t="str">
        <f aca="false">IF(H5&gt;=2.3,"High",IF(H5&gt;=1.6,"Medium","Low"))</f>
        <v>Medium</v>
      </c>
      <c r="J5" s="5" t="n">
        <f aca="false">Customers!H5</f>
        <v>0</v>
      </c>
      <c r="K5" s="5" t="n">
        <f aca="false">Customers!I5</f>
        <v>0</v>
      </c>
      <c r="L5" s="5" t="str">
        <f aca="false">IF(J5=1,"PEP override",IF(K5=1,"Adverse media override",""))</f>
        <v/>
      </c>
      <c r="M5" s="5" t="str">
        <f aca="false">IF(OR(J5=1,K5=1),"High",I5)</f>
        <v>Medium</v>
      </c>
      <c r="N5" s="5" t="str">
        <f aca="false">IF(M5="High","Enhanced Due Diligence (EDD)",IF(M5="Medium","Standard CDD + enhanced monitoring","Simplified/Standard CDD"))</f>
        <v>Standard CDD + enhanced monitoring</v>
      </c>
      <c r="O5" s="5" t="str">
        <f aca="false">IF(M5="High","Annual review",IF(M5="Medium","Review every 2 years","Review every 3 years"))</f>
        <v>Review every 2 years</v>
      </c>
    </row>
    <row r="6" customFormat="false" ht="15" hidden="false" customHeight="false" outlineLevel="0" collapsed="false">
      <c r="A6" s="5" t="s">
        <v>145</v>
      </c>
      <c r="B6" s="5" t="s">
        <v>146</v>
      </c>
      <c r="C6" s="5" t="str">
        <f aca="false">INDEX(Reference_Tables!$B$3:$B$32,MATCH(Customers!D6,Reference_Tables!$A$3:$A$32,0))</f>
        <v>Low</v>
      </c>
      <c r="D6" s="5" t="str">
        <f aca="false">INDEX(Reference_Tables!$F$3:$F$22,MATCH(Customers!E6,Reference_Tables!$E$3:$E$22,0))</f>
        <v>Medium</v>
      </c>
      <c r="E6" s="5" t="str">
        <f aca="false">INDEX(Reference_Tables!$I$3:$I$12,MATCH(Customers!F6,Reference_Tables!$H$3:$H$12,0))</f>
        <v>Low</v>
      </c>
      <c r="F6" s="5" t="str">
        <f aca="false">INDEX(Reference_Tables!$L$3:$L$6,MATCH(Customers!G6,Reference_Tables!$K$3:$K$6,0))</f>
        <v>Medium</v>
      </c>
      <c r="G6" s="5" t="str">
        <f aca="false">INDEX(Reference_Tables!$O$3:$O$9,MATCH(Customers!C6,Reference_Tables!$N$3:$N$9,0))</f>
        <v>Medium</v>
      </c>
      <c r="H6" s="10" t="n">
        <f aca="false">(IF(C6="Low",1,IF(C6="Medium",2,3)))*Risk_Weights!$B$2+(IF(D6="Low",1,IF(D6="Medium",2,3)))*Risk_Weights!$B$3+(IF(E6="Low",1,IF(E6="Medium",2,3)))*Risk_Weights!$B$4+(IF(G6="Low",1,IF(G6="Medium",2,3)))*Risk_Weights!$B$5+(IF(F6="Low",1,IF(F6="Medium",2,3)))*Risk_Weights!$B$6</f>
        <v>1.55</v>
      </c>
      <c r="I6" s="5" t="str">
        <f aca="false">IF(H6&gt;=2.3,"High",IF(H6&gt;=1.6,"Medium","Low"))</f>
        <v>Low</v>
      </c>
      <c r="J6" s="5" t="n">
        <f aca="false">Customers!H6</f>
        <v>0</v>
      </c>
      <c r="K6" s="5" t="n">
        <f aca="false">Customers!I6</f>
        <v>0</v>
      </c>
      <c r="L6" s="5" t="str">
        <f aca="false">IF(J6=1,"PEP override",IF(K6=1,"Adverse media override",""))</f>
        <v/>
      </c>
      <c r="M6" s="5" t="str">
        <f aca="false">IF(OR(J6=1,K6=1),"High",I6)</f>
        <v>Low</v>
      </c>
      <c r="N6" s="5" t="str">
        <f aca="false">IF(M6="High","Enhanced Due Diligence (EDD)",IF(M6="Medium","Standard CDD + enhanced monitoring","Simplified/Standard CDD"))</f>
        <v>Simplified/Standard CDD</v>
      </c>
      <c r="O6" s="5" t="str">
        <f aca="false">IF(M6="High","Annual review",IF(M6="Medium","Review every 2 years","Review every 3 years"))</f>
        <v>Review every 3 years</v>
      </c>
    </row>
    <row r="7" customFormat="false" ht="15" hidden="false" customHeight="false" outlineLevel="0" collapsed="false">
      <c r="A7" s="5" t="s">
        <v>148</v>
      </c>
      <c r="B7" s="5" t="s">
        <v>149</v>
      </c>
      <c r="C7" s="5" t="str">
        <f aca="false">INDEX(Reference_Tables!$B$3:$B$32,MATCH(Customers!D7,Reference_Tables!$A$3:$A$32,0))</f>
        <v>Medium</v>
      </c>
      <c r="D7" s="5" t="str">
        <f aca="false">INDEX(Reference_Tables!$F$3:$F$22,MATCH(Customers!E7,Reference_Tables!$E$3:$E$22,0))</f>
        <v>Low</v>
      </c>
      <c r="E7" s="5" t="str">
        <f aca="false">INDEX(Reference_Tables!$I$3:$I$12,MATCH(Customers!F7,Reference_Tables!$H$3:$H$12,0))</f>
        <v>Low</v>
      </c>
      <c r="F7" s="5" t="str">
        <f aca="false">INDEX(Reference_Tables!$L$3:$L$6,MATCH(Customers!G7,Reference_Tables!$K$3:$K$6,0))</f>
        <v>Medium</v>
      </c>
      <c r="G7" s="5" t="str">
        <f aca="false">INDEX(Reference_Tables!$O$3:$O$9,MATCH(Customers!C7,Reference_Tables!$N$3:$N$9,0))</f>
        <v>Low</v>
      </c>
      <c r="H7" s="10" t="n">
        <f aca="false">(IF(C7="Low",1,IF(C7="Medium",2,3)))*Risk_Weights!$B$2+(IF(D7="Low",1,IF(D7="Medium",2,3)))*Risk_Weights!$B$3+(IF(E7="Low",1,IF(E7="Medium",2,3)))*Risk_Weights!$B$4+(IF(G7="Low",1,IF(G7="Medium",2,3)))*Risk_Weights!$B$5+(IF(F7="Low",1,IF(F7="Medium",2,3)))*Risk_Weights!$B$6</f>
        <v>1.45</v>
      </c>
      <c r="I7" s="5" t="str">
        <f aca="false">IF(H7&gt;=2.3,"High",IF(H7&gt;=1.6,"Medium","Low"))</f>
        <v>Low</v>
      </c>
      <c r="J7" s="5" t="n">
        <f aca="false">Customers!H7</f>
        <v>0</v>
      </c>
      <c r="K7" s="5" t="n">
        <f aca="false">Customers!I7</f>
        <v>0</v>
      </c>
      <c r="L7" s="5" t="str">
        <f aca="false">IF(J7=1,"PEP override",IF(K7=1,"Adverse media override",""))</f>
        <v/>
      </c>
      <c r="M7" s="5" t="str">
        <f aca="false">IF(OR(J7=1,K7=1),"High",I7)</f>
        <v>Low</v>
      </c>
      <c r="N7" s="5" t="str">
        <f aca="false">IF(M7="High","Enhanced Due Diligence (EDD)",IF(M7="Medium","Standard CDD + enhanced monitoring","Simplified/Standard CDD"))</f>
        <v>Simplified/Standard CDD</v>
      </c>
      <c r="O7" s="5" t="str">
        <f aca="false">IF(M7="High","Annual review",IF(M7="Medium","Review every 2 years","Review every 3 years"))</f>
        <v>Review every 3 years</v>
      </c>
    </row>
    <row r="8" customFormat="false" ht="15" hidden="false" customHeight="false" outlineLevel="0" collapsed="false">
      <c r="A8" s="5" t="s">
        <v>151</v>
      </c>
      <c r="B8" s="5" t="s">
        <v>152</v>
      </c>
      <c r="C8" s="5" t="str">
        <f aca="false">INDEX(Reference_Tables!$B$3:$B$32,MATCH(Customers!D8,Reference_Tables!$A$3:$A$32,0))</f>
        <v>Low</v>
      </c>
      <c r="D8" s="5" t="str">
        <f aca="false">INDEX(Reference_Tables!$F$3:$F$22,MATCH(Customers!E8,Reference_Tables!$E$3:$E$22,0))</f>
        <v>Medium</v>
      </c>
      <c r="E8" s="5" t="str">
        <f aca="false">INDEX(Reference_Tables!$I$3:$I$12,MATCH(Customers!F8,Reference_Tables!$H$3:$H$12,0))</f>
        <v>Low</v>
      </c>
      <c r="F8" s="5" t="str">
        <f aca="false">INDEX(Reference_Tables!$L$3:$L$6,MATCH(Customers!G8,Reference_Tables!$K$3:$K$6,0))</f>
        <v>Low</v>
      </c>
      <c r="G8" s="5" t="str">
        <f aca="false">INDEX(Reference_Tables!$O$3:$O$9,MATCH(Customers!C8,Reference_Tables!$N$3:$N$9,0))</f>
        <v>Medium</v>
      </c>
      <c r="H8" s="10" t="n">
        <f aca="false">(IF(C8="Low",1,IF(C8="Medium",2,3)))*Risk_Weights!$B$2+(IF(D8="Low",1,IF(D8="Medium",2,3)))*Risk_Weights!$B$3+(IF(E8="Low",1,IF(E8="Medium",2,3)))*Risk_Weights!$B$4+(IF(G8="Low",1,IF(G8="Medium",2,3)))*Risk_Weights!$B$5+(IF(F8="Low",1,IF(F8="Medium",2,3)))*Risk_Weights!$B$6</f>
        <v>1.35</v>
      </c>
      <c r="I8" s="5" t="str">
        <f aca="false">IF(H8&gt;=2.3,"High",IF(H8&gt;=1.6,"Medium","Low"))</f>
        <v>Low</v>
      </c>
      <c r="J8" s="5" t="n">
        <f aca="false">Customers!H8</f>
        <v>0</v>
      </c>
      <c r="K8" s="5" t="n">
        <f aca="false">Customers!I8</f>
        <v>0</v>
      </c>
      <c r="L8" s="5" t="str">
        <f aca="false">IF(J8=1,"PEP override",IF(K8=1,"Adverse media override",""))</f>
        <v/>
      </c>
      <c r="M8" s="5" t="str">
        <f aca="false">IF(OR(J8=1,K8=1),"High",I8)</f>
        <v>Low</v>
      </c>
      <c r="N8" s="5" t="str">
        <f aca="false">IF(M8="High","Enhanced Due Diligence (EDD)",IF(M8="Medium","Standard CDD + enhanced monitoring","Simplified/Standard CDD"))</f>
        <v>Simplified/Standard CDD</v>
      </c>
      <c r="O8" s="5" t="str">
        <f aca="false">IF(M8="High","Annual review",IF(M8="Medium","Review every 2 years","Review every 3 years"))</f>
        <v>Review every 3 years</v>
      </c>
    </row>
    <row r="9" customFormat="false" ht="15" hidden="false" customHeight="false" outlineLevel="0" collapsed="false">
      <c r="A9" s="5" t="s">
        <v>154</v>
      </c>
      <c r="B9" s="5" t="s">
        <v>155</v>
      </c>
      <c r="C9" s="5" t="str">
        <f aca="false">INDEX(Reference_Tables!$B$3:$B$32,MATCH(Customers!D9,Reference_Tables!$A$3:$A$32,0))</f>
        <v>Medium</v>
      </c>
      <c r="D9" s="5" t="str">
        <f aca="false">INDEX(Reference_Tables!$F$3:$F$22,MATCH(Customers!E9,Reference_Tables!$E$3:$E$22,0))</f>
        <v>Medium</v>
      </c>
      <c r="E9" s="5" t="str">
        <f aca="false">INDEX(Reference_Tables!$I$3:$I$12,MATCH(Customers!F9,Reference_Tables!$H$3:$H$12,0))</f>
        <v>Medium</v>
      </c>
      <c r="F9" s="5" t="str">
        <f aca="false">INDEX(Reference_Tables!$L$3:$L$6,MATCH(Customers!G9,Reference_Tables!$K$3:$K$6,0))</f>
        <v>Low</v>
      </c>
      <c r="G9" s="5" t="str">
        <f aca="false">INDEX(Reference_Tables!$O$3:$O$9,MATCH(Customers!C9,Reference_Tables!$N$3:$N$9,0))</f>
        <v>Medium</v>
      </c>
      <c r="H9" s="10" t="n">
        <f aca="false">(IF(C9="Low",1,IF(C9="Medium",2,3)))*Risk_Weights!$B$2+(IF(D9="Low",1,IF(D9="Medium",2,3)))*Risk_Weights!$B$3+(IF(E9="Low",1,IF(E9="Medium",2,3)))*Risk_Weights!$B$4+(IF(G9="Low",1,IF(G9="Medium",2,3)))*Risk_Weights!$B$5+(IF(F9="Low",1,IF(F9="Medium",2,3)))*Risk_Weights!$B$6</f>
        <v>1.8</v>
      </c>
      <c r="I9" s="5" t="str">
        <f aca="false">IF(H9&gt;=2.3,"High",IF(H9&gt;=1.6,"Medium","Low"))</f>
        <v>Medium</v>
      </c>
      <c r="J9" s="5" t="n">
        <f aca="false">Customers!H9</f>
        <v>0</v>
      </c>
      <c r="K9" s="5" t="n">
        <f aca="false">Customers!I9</f>
        <v>0</v>
      </c>
      <c r="L9" s="5" t="str">
        <f aca="false">IF(J9=1,"PEP override",IF(K9=1,"Adverse media override",""))</f>
        <v/>
      </c>
      <c r="M9" s="5" t="str">
        <f aca="false">IF(OR(J9=1,K9=1),"High",I9)</f>
        <v>Medium</v>
      </c>
      <c r="N9" s="5" t="str">
        <f aca="false">IF(M9="High","Enhanced Due Diligence (EDD)",IF(M9="Medium","Standard CDD + enhanced monitoring","Simplified/Standard CDD"))</f>
        <v>Standard CDD + enhanced monitoring</v>
      </c>
      <c r="O9" s="5" t="str">
        <f aca="false">IF(M9="High","Annual review",IF(M9="Medium","Review every 2 years","Review every 3 years"))</f>
        <v>Review every 2 years</v>
      </c>
    </row>
    <row r="10" customFormat="false" ht="15" hidden="false" customHeight="false" outlineLevel="0" collapsed="false">
      <c r="A10" s="5" t="s">
        <v>157</v>
      </c>
      <c r="B10" s="5" t="s">
        <v>158</v>
      </c>
      <c r="C10" s="5" t="str">
        <f aca="false">INDEX(Reference_Tables!$B$3:$B$32,MATCH(Customers!D10,Reference_Tables!$A$3:$A$32,0))</f>
        <v>Low</v>
      </c>
      <c r="D10" s="5" t="str">
        <f aca="false">INDEX(Reference_Tables!$F$3:$F$22,MATCH(Customers!E10,Reference_Tables!$E$3:$E$22,0))</f>
        <v>Low</v>
      </c>
      <c r="E10" s="5" t="str">
        <f aca="false">INDEX(Reference_Tables!$I$3:$I$12,MATCH(Customers!F10,Reference_Tables!$H$3:$H$12,0))</f>
        <v>Low</v>
      </c>
      <c r="F10" s="5" t="str">
        <f aca="false">INDEX(Reference_Tables!$L$3:$L$6,MATCH(Customers!G10,Reference_Tables!$K$3:$K$6,0))</f>
        <v>Low</v>
      </c>
      <c r="G10" s="5" t="str">
        <f aca="false">INDEX(Reference_Tables!$O$3:$O$9,MATCH(Customers!C10,Reference_Tables!$N$3:$N$9,0))</f>
        <v>Low</v>
      </c>
      <c r="H10" s="10" t="n">
        <f aca="false">(IF(C10="Low",1,IF(C10="Medium",2,3)))*Risk_Weights!$B$2+(IF(D10="Low",1,IF(D10="Medium",2,3)))*Risk_Weights!$B$3+(IF(E10="Low",1,IF(E10="Medium",2,3)))*Risk_Weights!$B$4+(IF(G10="Low",1,IF(G10="Medium",2,3)))*Risk_Weights!$B$5+(IF(F10="Low",1,IF(F10="Medium",2,3)))*Risk_Weights!$B$6</f>
        <v>1</v>
      </c>
      <c r="I10" s="5" t="str">
        <f aca="false">IF(H10&gt;=2.3,"High",IF(H10&gt;=1.6,"Medium","Low"))</f>
        <v>Low</v>
      </c>
      <c r="J10" s="5" t="n">
        <f aca="false">Customers!H10</f>
        <v>1</v>
      </c>
      <c r="K10" s="5" t="n">
        <f aca="false">Customers!I10</f>
        <v>0</v>
      </c>
      <c r="L10" s="5" t="str">
        <f aca="false">IF(J10=1,"PEP override",IF(K10=1,"Adverse media override",""))</f>
        <v>PEP override</v>
      </c>
      <c r="M10" s="5" t="str">
        <f aca="false">IF(OR(J10=1,K10=1),"High",I10)</f>
        <v>High</v>
      </c>
      <c r="N10" s="5" t="str">
        <f aca="false">IF(M10="High","Enhanced Due Diligence (EDD)",IF(M10="Medium","Standard CDD + enhanced monitoring","Simplified/Standard CDD"))</f>
        <v>Enhanced Due Diligence (EDD)</v>
      </c>
      <c r="O10" s="5" t="str">
        <f aca="false">IF(M10="High","Annual review",IF(M10="Medium","Review every 2 years","Review every 3 years"))</f>
        <v>Annual review</v>
      </c>
    </row>
    <row r="11" customFormat="false" ht="15" hidden="false" customHeight="false" outlineLevel="0" collapsed="false">
      <c r="A11" s="5" t="s">
        <v>160</v>
      </c>
      <c r="B11" s="5" t="s">
        <v>161</v>
      </c>
      <c r="C11" s="5" t="str">
        <f aca="false">INDEX(Reference_Tables!$B$3:$B$32,MATCH(Customers!D11,Reference_Tables!$A$3:$A$32,0))</f>
        <v>Medium</v>
      </c>
      <c r="D11" s="5" t="str">
        <f aca="false">INDEX(Reference_Tables!$F$3:$F$22,MATCH(Customers!E11,Reference_Tables!$E$3:$E$22,0))</f>
        <v>High</v>
      </c>
      <c r="E11" s="5" t="str">
        <f aca="false">INDEX(Reference_Tables!$I$3:$I$12,MATCH(Customers!F11,Reference_Tables!$H$3:$H$12,0))</f>
        <v>High</v>
      </c>
      <c r="F11" s="5" t="str">
        <f aca="false">INDEX(Reference_Tables!$L$3:$L$6,MATCH(Customers!G11,Reference_Tables!$K$3:$K$6,0))</f>
        <v>High</v>
      </c>
      <c r="G11" s="5" t="str">
        <f aca="false">INDEX(Reference_Tables!$O$3:$O$9,MATCH(Customers!C11,Reference_Tables!$N$3:$N$9,0))</f>
        <v>High</v>
      </c>
      <c r="H11" s="10" t="n">
        <f aca="false">(IF(C11="Low",1,IF(C11="Medium",2,3)))*Risk_Weights!$B$2+(IF(D11="Low",1,IF(D11="Medium",2,3)))*Risk_Weights!$B$3+(IF(E11="Low",1,IF(E11="Medium",2,3)))*Risk_Weights!$B$4+(IF(G11="Low",1,IF(G11="Medium",2,3)))*Risk_Weights!$B$5+(IF(F11="Low",1,IF(F11="Medium",2,3)))*Risk_Weights!$B$6</f>
        <v>2.75</v>
      </c>
      <c r="I11" s="5" t="str">
        <f aca="false">IF(H11&gt;=2.3,"High",IF(H11&gt;=1.6,"Medium","Low"))</f>
        <v>High</v>
      </c>
      <c r="J11" s="5" t="n">
        <f aca="false">Customers!H11</f>
        <v>0</v>
      </c>
      <c r="K11" s="5" t="n">
        <f aca="false">Customers!I11</f>
        <v>0</v>
      </c>
      <c r="L11" s="5" t="str">
        <f aca="false">IF(J11=1,"PEP override",IF(K11=1,"Adverse media override",""))</f>
        <v/>
      </c>
      <c r="M11" s="5" t="str">
        <f aca="false">IF(OR(J11=1,K11=1),"High",I11)</f>
        <v>High</v>
      </c>
      <c r="N11" s="5" t="str">
        <f aca="false">IF(M11="High","Enhanced Due Diligence (EDD)",IF(M11="Medium","Standard CDD + enhanced monitoring","Simplified/Standard CDD"))</f>
        <v>Enhanced Due Diligence (EDD)</v>
      </c>
      <c r="O11" s="5" t="str">
        <f aca="false">IF(M11="High","Annual review",IF(M11="Medium","Review every 2 years","Review every 3 years"))</f>
        <v>Annual review</v>
      </c>
    </row>
    <row r="12" customFormat="false" ht="15" hidden="false" customHeight="false" outlineLevel="0" collapsed="false">
      <c r="A12" s="5" t="s">
        <v>163</v>
      </c>
      <c r="B12" s="5" t="s">
        <v>164</v>
      </c>
      <c r="C12" s="5" t="str">
        <f aca="false">INDEX(Reference_Tables!$B$3:$B$32,MATCH(Customers!D12,Reference_Tables!$A$3:$A$32,0))</f>
        <v>Medium</v>
      </c>
      <c r="D12" s="5" t="str">
        <f aca="false">INDEX(Reference_Tables!$F$3:$F$22,MATCH(Customers!E12,Reference_Tables!$E$3:$E$22,0))</f>
        <v>Medium</v>
      </c>
      <c r="E12" s="5" t="str">
        <f aca="false">INDEX(Reference_Tables!$I$3:$I$12,MATCH(Customers!F12,Reference_Tables!$H$3:$H$12,0))</f>
        <v>High</v>
      </c>
      <c r="F12" s="5" t="str">
        <f aca="false">INDEX(Reference_Tables!$L$3:$L$6,MATCH(Customers!G12,Reference_Tables!$K$3:$K$6,0))</f>
        <v>High</v>
      </c>
      <c r="G12" s="5" t="str">
        <f aca="false">INDEX(Reference_Tables!$O$3:$O$9,MATCH(Customers!C12,Reference_Tables!$N$3:$N$9,0))</f>
        <v>Medium</v>
      </c>
      <c r="H12" s="10" t="n">
        <f aca="false">(IF(C12="Low",1,IF(C12="Medium",2,3)))*Risk_Weights!$B$2+(IF(D12="Low",1,IF(D12="Medium",2,3)))*Risk_Weights!$B$3+(IF(E12="Low",1,IF(E12="Medium",2,3)))*Risk_Weights!$B$4+(IF(G12="Low",1,IF(G12="Medium",2,3)))*Risk_Weights!$B$5+(IF(F12="Low",1,IF(F12="Medium",2,3)))*Risk_Weights!$B$6</f>
        <v>2.4</v>
      </c>
      <c r="I12" s="5" t="str">
        <f aca="false">IF(H12&gt;=2.3,"High",IF(H12&gt;=1.6,"Medium","Low"))</f>
        <v>High</v>
      </c>
      <c r="J12" s="5" t="n">
        <f aca="false">Customers!H12</f>
        <v>0</v>
      </c>
      <c r="K12" s="5" t="n">
        <f aca="false">Customers!I12</f>
        <v>1</v>
      </c>
      <c r="L12" s="5" t="str">
        <f aca="false">IF(J12=1,"PEP override",IF(K12=1,"Adverse media override",""))</f>
        <v>Adverse media override</v>
      </c>
      <c r="M12" s="5" t="str">
        <f aca="false">IF(OR(J12=1,K12=1),"High",I12)</f>
        <v>High</v>
      </c>
      <c r="N12" s="5" t="str">
        <f aca="false">IF(M12="High","Enhanced Due Diligence (EDD)",IF(M12="Medium","Standard CDD + enhanced monitoring","Simplified/Standard CDD"))</f>
        <v>Enhanced Due Diligence (EDD)</v>
      </c>
      <c r="O12" s="5" t="str">
        <f aca="false">IF(M12="High","Annual review",IF(M12="Medium","Review every 2 years","Review every 3 years"))</f>
        <v>Annual review</v>
      </c>
    </row>
    <row r="13" customFormat="false" ht="15" hidden="false" customHeight="false" outlineLevel="0" collapsed="false">
      <c r="A13" s="5" t="s">
        <v>166</v>
      </c>
      <c r="B13" s="5" t="s">
        <v>167</v>
      </c>
      <c r="C13" s="5" t="str">
        <f aca="false">INDEX(Reference_Tables!$B$3:$B$32,MATCH(Customers!D13,Reference_Tables!$A$3:$A$32,0))</f>
        <v>Medium</v>
      </c>
      <c r="D13" s="5" t="str">
        <f aca="false">INDEX(Reference_Tables!$F$3:$F$22,MATCH(Customers!E13,Reference_Tables!$E$3:$E$22,0))</f>
        <v>Low</v>
      </c>
      <c r="E13" s="5" t="str">
        <f aca="false">INDEX(Reference_Tables!$I$3:$I$12,MATCH(Customers!F13,Reference_Tables!$H$3:$H$12,0))</f>
        <v>Low</v>
      </c>
      <c r="F13" s="5" t="str">
        <f aca="false">INDEX(Reference_Tables!$L$3:$L$6,MATCH(Customers!G13,Reference_Tables!$K$3:$K$6,0))</f>
        <v>Low</v>
      </c>
      <c r="G13" s="5" t="str">
        <f aca="false">INDEX(Reference_Tables!$O$3:$O$9,MATCH(Customers!C13,Reference_Tables!$N$3:$N$9,0))</f>
        <v>Low</v>
      </c>
      <c r="H13" s="10" t="n">
        <f aca="false">(IF(C13="Low",1,IF(C13="Medium",2,3)))*Risk_Weights!$B$2+(IF(D13="Low",1,IF(D13="Medium",2,3)))*Risk_Weights!$B$3+(IF(E13="Low",1,IF(E13="Medium",2,3)))*Risk_Weights!$B$4+(IF(G13="Low",1,IF(G13="Medium",2,3)))*Risk_Weights!$B$5+(IF(F13="Low",1,IF(F13="Medium",2,3)))*Risk_Weights!$B$6</f>
        <v>1.25</v>
      </c>
      <c r="I13" s="5" t="str">
        <f aca="false">IF(H13&gt;=2.3,"High",IF(H13&gt;=1.6,"Medium","Low"))</f>
        <v>Low</v>
      </c>
      <c r="J13" s="5" t="n">
        <f aca="false">Customers!H13</f>
        <v>0</v>
      </c>
      <c r="K13" s="5" t="n">
        <f aca="false">Customers!I13</f>
        <v>0</v>
      </c>
      <c r="L13" s="5" t="str">
        <f aca="false">IF(J13=1,"PEP override",IF(K13=1,"Adverse media override",""))</f>
        <v/>
      </c>
      <c r="M13" s="5" t="str">
        <f aca="false">IF(OR(J13=1,K13=1),"High",I13)</f>
        <v>Low</v>
      </c>
      <c r="N13" s="5" t="str">
        <f aca="false">IF(M13="High","Enhanced Due Diligence (EDD)",IF(M13="Medium","Standard CDD + enhanced monitoring","Simplified/Standard CDD"))</f>
        <v>Simplified/Standard CDD</v>
      </c>
      <c r="O13" s="5" t="str">
        <f aca="false">IF(M13="High","Annual review",IF(M13="Medium","Review every 2 years","Review every 3 years"))</f>
        <v>Review every 3 years</v>
      </c>
    </row>
    <row r="14" customFormat="false" ht="15" hidden="false" customHeight="false" outlineLevel="0" collapsed="false">
      <c r="A14" s="5" t="s">
        <v>169</v>
      </c>
      <c r="B14" s="5" t="s">
        <v>170</v>
      </c>
      <c r="C14" s="5" t="str">
        <f aca="false">INDEX(Reference_Tables!$B$3:$B$32,MATCH(Customers!D14,Reference_Tables!$A$3:$A$32,0))</f>
        <v>High</v>
      </c>
      <c r="D14" s="5" t="str">
        <f aca="false">INDEX(Reference_Tables!$F$3:$F$22,MATCH(Customers!E14,Reference_Tables!$E$3:$E$22,0))</f>
        <v>High</v>
      </c>
      <c r="E14" s="5" t="str">
        <f aca="false">INDEX(Reference_Tables!$I$3:$I$12,MATCH(Customers!F14,Reference_Tables!$H$3:$H$12,0))</f>
        <v>High</v>
      </c>
      <c r="F14" s="5" t="str">
        <f aca="false">INDEX(Reference_Tables!$L$3:$L$6,MATCH(Customers!G14,Reference_Tables!$K$3:$K$6,0))</f>
        <v>High</v>
      </c>
      <c r="G14" s="5" t="str">
        <f aca="false">INDEX(Reference_Tables!$O$3:$O$9,MATCH(Customers!C14,Reference_Tables!$N$3:$N$9,0))</f>
        <v>High</v>
      </c>
      <c r="H14" s="10" t="n">
        <f aca="false">(IF(C14="Low",1,IF(C14="Medium",2,3)))*Risk_Weights!$B$2+(IF(D14="Low",1,IF(D14="Medium",2,3)))*Risk_Weights!$B$3+(IF(E14="Low",1,IF(E14="Medium",2,3)))*Risk_Weights!$B$4+(IF(G14="Low",1,IF(G14="Medium",2,3)))*Risk_Weights!$B$5+(IF(F14="Low",1,IF(F14="Medium",2,3)))*Risk_Weights!$B$6</f>
        <v>3</v>
      </c>
      <c r="I14" s="5" t="str">
        <f aca="false">IF(H14&gt;=2.3,"High",IF(H14&gt;=1.6,"Medium","Low"))</f>
        <v>High</v>
      </c>
      <c r="J14" s="5" t="n">
        <f aca="false">Customers!H14</f>
        <v>0</v>
      </c>
      <c r="K14" s="5" t="n">
        <f aca="false">Customers!I14</f>
        <v>0</v>
      </c>
      <c r="L14" s="5" t="str">
        <f aca="false">IF(J14=1,"PEP override",IF(K14=1,"Adverse media override",""))</f>
        <v/>
      </c>
      <c r="M14" s="5" t="str">
        <f aca="false">IF(OR(J14=1,K14=1),"High",I14)</f>
        <v>High</v>
      </c>
      <c r="N14" s="5" t="str">
        <f aca="false">IF(M14="High","Enhanced Due Diligence (EDD)",IF(M14="Medium","Standard CDD + enhanced monitoring","Simplified/Standard CDD"))</f>
        <v>Enhanced Due Diligence (EDD)</v>
      </c>
      <c r="O14" s="5" t="str">
        <f aca="false">IF(M14="High","Annual review",IF(M14="Medium","Review every 2 years","Review every 3 years"))</f>
        <v>Annual review</v>
      </c>
    </row>
    <row r="15" customFormat="false" ht="15" hidden="false" customHeight="false" outlineLevel="0" collapsed="false">
      <c r="A15" s="5" t="s">
        <v>172</v>
      </c>
      <c r="B15" s="5" t="s">
        <v>173</v>
      </c>
      <c r="C15" s="5" t="str">
        <f aca="false">INDEX(Reference_Tables!$B$3:$B$32,MATCH(Customers!D15,Reference_Tables!$A$3:$A$32,0))</f>
        <v>Low</v>
      </c>
      <c r="D15" s="5" t="str">
        <f aca="false">INDEX(Reference_Tables!$F$3:$F$22,MATCH(Customers!E15,Reference_Tables!$E$3:$E$22,0))</f>
        <v>Medium</v>
      </c>
      <c r="E15" s="5" t="str">
        <f aca="false">INDEX(Reference_Tables!$I$3:$I$12,MATCH(Customers!F15,Reference_Tables!$H$3:$H$12,0))</f>
        <v>Low</v>
      </c>
      <c r="F15" s="5" t="str">
        <f aca="false">INDEX(Reference_Tables!$L$3:$L$6,MATCH(Customers!G15,Reference_Tables!$K$3:$K$6,0))</f>
        <v>Low</v>
      </c>
      <c r="G15" s="5" t="str">
        <f aca="false">INDEX(Reference_Tables!$O$3:$O$9,MATCH(Customers!C15,Reference_Tables!$N$3:$N$9,0))</f>
        <v>Low</v>
      </c>
      <c r="H15" s="10" t="n">
        <f aca="false">(IF(C15="Low",1,IF(C15="Medium",2,3)))*Risk_Weights!$B$2+(IF(D15="Low",1,IF(D15="Medium",2,3)))*Risk_Weights!$B$3+(IF(E15="Low",1,IF(E15="Medium",2,3)))*Risk_Weights!$B$4+(IF(G15="Low",1,IF(G15="Medium",2,3)))*Risk_Weights!$B$5+(IF(F15="Low",1,IF(F15="Medium",2,3)))*Risk_Weights!$B$6</f>
        <v>1.2</v>
      </c>
      <c r="I15" s="5" t="str">
        <f aca="false">IF(H15&gt;=2.3,"High",IF(H15&gt;=1.6,"Medium","Low"))</f>
        <v>Low</v>
      </c>
      <c r="J15" s="5" t="n">
        <f aca="false">Customers!H15</f>
        <v>0</v>
      </c>
      <c r="K15" s="5" t="n">
        <f aca="false">Customers!I15</f>
        <v>0</v>
      </c>
      <c r="L15" s="5" t="str">
        <f aca="false">IF(J15=1,"PEP override",IF(K15=1,"Adverse media override",""))</f>
        <v/>
      </c>
      <c r="M15" s="5" t="str">
        <f aca="false">IF(OR(J15=1,K15=1),"High",I15)</f>
        <v>Low</v>
      </c>
      <c r="N15" s="5" t="str">
        <f aca="false">IF(M15="High","Enhanced Due Diligence (EDD)",IF(M15="Medium","Standard CDD + enhanced monitoring","Simplified/Standard CDD"))</f>
        <v>Simplified/Standard CDD</v>
      </c>
      <c r="O15" s="5" t="str">
        <f aca="false">IF(M15="High","Annual review",IF(M15="Medium","Review every 2 years","Review every 3 years"))</f>
        <v>Review every 3 years</v>
      </c>
    </row>
    <row r="16" customFormat="false" ht="15" hidden="false" customHeight="false" outlineLevel="0" collapsed="false">
      <c r="A16" s="5" t="s">
        <v>175</v>
      </c>
      <c r="B16" s="5" t="s">
        <v>176</v>
      </c>
      <c r="C16" s="5" t="str">
        <f aca="false">INDEX(Reference_Tables!$B$3:$B$32,MATCH(Customers!D16,Reference_Tables!$A$3:$A$32,0))</f>
        <v>Medium</v>
      </c>
      <c r="D16" s="5" t="str">
        <f aca="false">INDEX(Reference_Tables!$F$3:$F$22,MATCH(Customers!E16,Reference_Tables!$E$3:$E$22,0))</f>
        <v>Medium</v>
      </c>
      <c r="E16" s="5" t="str">
        <f aca="false">INDEX(Reference_Tables!$I$3:$I$12,MATCH(Customers!F16,Reference_Tables!$H$3:$H$12,0))</f>
        <v>Low</v>
      </c>
      <c r="F16" s="5" t="str">
        <f aca="false">INDEX(Reference_Tables!$L$3:$L$6,MATCH(Customers!G16,Reference_Tables!$K$3:$K$6,0))</f>
        <v>Medium</v>
      </c>
      <c r="G16" s="5" t="str">
        <f aca="false">INDEX(Reference_Tables!$O$3:$O$9,MATCH(Customers!C16,Reference_Tables!$N$3:$N$9,0))</f>
        <v>Medium</v>
      </c>
      <c r="H16" s="10" t="n">
        <f aca="false">(IF(C16="Low",1,IF(C16="Medium",2,3)))*Risk_Weights!$B$2+(IF(D16="Low",1,IF(D16="Medium",2,3)))*Risk_Weights!$B$3+(IF(E16="Low",1,IF(E16="Medium",2,3)))*Risk_Weights!$B$4+(IF(G16="Low",1,IF(G16="Medium",2,3)))*Risk_Weights!$B$5+(IF(F16="Low",1,IF(F16="Medium",2,3)))*Risk_Weights!$B$6</f>
        <v>1.8</v>
      </c>
      <c r="I16" s="5" t="str">
        <f aca="false">IF(H16&gt;=2.3,"High",IF(H16&gt;=1.6,"Medium","Low"))</f>
        <v>Medium</v>
      </c>
      <c r="J16" s="5" t="n">
        <f aca="false">Customers!H16</f>
        <v>0</v>
      </c>
      <c r="K16" s="5" t="n">
        <f aca="false">Customers!I16</f>
        <v>0</v>
      </c>
      <c r="L16" s="5" t="str">
        <f aca="false">IF(J16=1,"PEP override",IF(K16=1,"Adverse media override",""))</f>
        <v/>
      </c>
      <c r="M16" s="5" t="str">
        <f aca="false">IF(OR(J16=1,K16=1),"High",I16)</f>
        <v>Medium</v>
      </c>
      <c r="N16" s="5" t="str">
        <f aca="false">IF(M16="High","Enhanced Due Diligence (EDD)",IF(M16="Medium","Standard CDD + enhanced monitoring","Simplified/Standard CDD"))</f>
        <v>Standard CDD + enhanced monitoring</v>
      </c>
      <c r="O16" s="5" t="str">
        <f aca="false">IF(M16="High","Annual review",IF(M16="Medium","Review every 2 years","Review every 3 years"))</f>
        <v>Review every 2 years</v>
      </c>
    </row>
    <row r="17" customFormat="false" ht="15" hidden="false" customHeight="false" outlineLevel="0" collapsed="false">
      <c r="A17" s="5" t="s">
        <v>178</v>
      </c>
      <c r="B17" s="5" t="s">
        <v>179</v>
      </c>
      <c r="C17" s="5" t="str">
        <f aca="false">INDEX(Reference_Tables!$B$3:$B$32,MATCH(Customers!D17,Reference_Tables!$A$3:$A$32,0))</f>
        <v>High</v>
      </c>
      <c r="D17" s="5" t="str">
        <f aca="false">INDEX(Reference_Tables!$F$3:$F$22,MATCH(Customers!E17,Reference_Tables!$E$3:$E$22,0))</f>
        <v>Medium</v>
      </c>
      <c r="E17" s="5" t="str">
        <f aca="false">INDEX(Reference_Tables!$I$3:$I$12,MATCH(Customers!F17,Reference_Tables!$H$3:$H$12,0))</f>
        <v>Medium</v>
      </c>
      <c r="F17" s="5" t="str">
        <f aca="false">INDEX(Reference_Tables!$L$3:$L$6,MATCH(Customers!G17,Reference_Tables!$K$3:$K$6,0))</f>
        <v>High</v>
      </c>
      <c r="G17" s="5" t="str">
        <f aca="false">INDEX(Reference_Tables!$O$3:$O$9,MATCH(Customers!C17,Reference_Tables!$N$3:$N$9,0))</f>
        <v>High</v>
      </c>
      <c r="H17" s="10" t="n">
        <f aca="false">(IF(C17="Low",1,IF(C17="Medium",2,3)))*Risk_Weights!$B$2+(IF(D17="Low",1,IF(D17="Medium",2,3)))*Risk_Weights!$B$3+(IF(E17="Low",1,IF(E17="Medium",2,3)))*Risk_Weights!$B$4+(IF(G17="Low",1,IF(G17="Medium",2,3)))*Risk_Weights!$B$5+(IF(F17="Low",1,IF(F17="Medium",2,3)))*Risk_Weights!$B$6</f>
        <v>2.6</v>
      </c>
      <c r="I17" s="5" t="str">
        <f aca="false">IF(H17&gt;=2.3,"High",IF(H17&gt;=1.6,"Medium","Low"))</f>
        <v>High</v>
      </c>
      <c r="J17" s="5" t="n">
        <f aca="false">Customers!H17</f>
        <v>0</v>
      </c>
      <c r="K17" s="5" t="n">
        <f aca="false">Customers!I17</f>
        <v>0</v>
      </c>
      <c r="L17" s="5" t="str">
        <f aca="false">IF(J17=1,"PEP override",IF(K17=1,"Adverse media override",""))</f>
        <v/>
      </c>
      <c r="M17" s="5" t="str">
        <f aca="false">IF(OR(J17=1,K17=1),"High",I17)</f>
        <v>High</v>
      </c>
      <c r="N17" s="5" t="str">
        <f aca="false">IF(M17="High","Enhanced Due Diligence (EDD)",IF(M17="Medium","Standard CDD + enhanced monitoring","Simplified/Standard CDD"))</f>
        <v>Enhanced Due Diligence (EDD)</v>
      </c>
      <c r="O17" s="5" t="str">
        <f aca="false">IF(M17="High","Annual review",IF(M17="Medium","Review every 2 years","Review every 3 years"))</f>
        <v>Annual review</v>
      </c>
    </row>
    <row r="18" customFormat="false" ht="15" hidden="false" customHeight="false" outlineLevel="0" collapsed="false">
      <c r="A18" s="5" t="s">
        <v>181</v>
      </c>
      <c r="B18" s="5" t="s">
        <v>182</v>
      </c>
      <c r="C18" s="5" t="str">
        <f aca="false">INDEX(Reference_Tables!$B$3:$B$32,MATCH(Customers!D18,Reference_Tables!$A$3:$A$32,0))</f>
        <v>Low</v>
      </c>
      <c r="D18" s="5" t="str">
        <f aca="false">INDEX(Reference_Tables!$F$3:$F$22,MATCH(Customers!E18,Reference_Tables!$E$3:$E$22,0))</f>
        <v>Low</v>
      </c>
      <c r="E18" s="5" t="str">
        <f aca="false">INDEX(Reference_Tables!$I$3:$I$12,MATCH(Customers!F18,Reference_Tables!$H$3:$H$12,0))</f>
        <v>Low</v>
      </c>
      <c r="F18" s="5" t="str">
        <f aca="false">INDEX(Reference_Tables!$L$3:$L$6,MATCH(Customers!G18,Reference_Tables!$K$3:$K$6,0))</f>
        <v>Low</v>
      </c>
      <c r="G18" s="5" t="str">
        <f aca="false">INDEX(Reference_Tables!$O$3:$O$9,MATCH(Customers!C18,Reference_Tables!$N$3:$N$9,0))</f>
        <v>Low</v>
      </c>
      <c r="H18" s="10" t="n">
        <f aca="false">(IF(C18="Low",1,IF(C18="Medium",2,3)))*Risk_Weights!$B$2+(IF(D18="Low",1,IF(D18="Medium",2,3)))*Risk_Weights!$B$3+(IF(E18="Low",1,IF(E18="Medium",2,3)))*Risk_Weights!$B$4+(IF(G18="Low",1,IF(G18="Medium",2,3)))*Risk_Weights!$B$5+(IF(F18="Low",1,IF(F18="Medium",2,3)))*Risk_Weights!$B$6</f>
        <v>1</v>
      </c>
      <c r="I18" s="5" t="str">
        <f aca="false">IF(H18&gt;=2.3,"High",IF(H18&gt;=1.6,"Medium","Low"))</f>
        <v>Low</v>
      </c>
      <c r="J18" s="5" t="n">
        <f aca="false">Customers!H18</f>
        <v>0</v>
      </c>
      <c r="K18" s="5" t="n">
        <f aca="false">Customers!I18</f>
        <v>0</v>
      </c>
      <c r="L18" s="5" t="str">
        <f aca="false">IF(J18=1,"PEP override",IF(K18=1,"Adverse media override",""))</f>
        <v/>
      </c>
      <c r="M18" s="5" t="str">
        <f aca="false">IF(OR(J18=1,K18=1),"High",I18)</f>
        <v>Low</v>
      </c>
      <c r="N18" s="5" t="str">
        <f aca="false">IF(M18="High","Enhanced Due Diligence (EDD)",IF(M18="Medium","Standard CDD + enhanced monitoring","Simplified/Standard CDD"))</f>
        <v>Simplified/Standard CDD</v>
      </c>
      <c r="O18" s="5" t="str">
        <f aca="false">IF(M18="High","Annual review",IF(M18="Medium","Review every 2 years","Review every 3 years"))</f>
        <v>Review every 3 years</v>
      </c>
    </row>
    <row r="19" customFormat="false" ht="15" hidden="false" customHeight="false" outlineLevel="0" collapsed="false">
      <c r="A19" s="5" t="s">
        <v>184</v>
      </c>
      <c r="B19" s="5" t="s">
        <v>185</v>
      </c>
      <c r="C19" s="5" t="str">
        <f aca="false">INDEX(Reference_Tables!$B$3:$B$32,MATCH(Customers!D19,Reference_Tables!$A$3:$A$32,0))</f>
        <v>High</v>
      </c>
      <c r="D19" s="5" t="str">
        <f aca="false">INDEX(Reference_Tables!$F$3:$F$22,MATCH(Customers!E19,Reference_Tables!$E$3:$E$22,0))</f>
        <v>High</v>
      </c>
      <c r="E19" s="5" t="str">
        <f aca="false">INDEX(Reference_Tables!$I$3:$I$12,MATCH(Customers!F19,Reference_Tables!$H$3:$H$12,0))</f>
        <v>High</v>
      </c>
      <c r="F19" s="5" t="str">
        <f aca="false">INDEX(Reference_Tables!$L$3:$L$6,MATCH(Customers!G19,Reference_Tables!$K$3:$K$6,0))</f>
        <v>High</v>
      </c>
      <c r="G19" s="5" t="str">
        <f aca="false">INDEX(Reference_Tables!$O$3:$O$9,MATCH(Customers!C19,Reference_Tables!$N$3:$N$9,0))</f>
        <v>Medium</v>
      </c>
      <c r="H19" s="10" t="n">
        <f aca="false">(IF(C19="Low",1,IF(C19="Medium",2,3)))*Risk_Weights!$B$2+(IF(D19="Low",1,IF(D19="Medium",2,3)))*Risk_Weights!$B$3+(IF(E19="Low",1,IF(E19="Medium",2,3)))*Risk_Weights!$B$4+(IF(G19="Low",1,IF(G19="Medium",2,3)))*Risk_Weights!$B$5+(IF(F19="Low",1,IF(F19="Medium",2,3)))*Risk_Weights!$B$6</f>
        <v>2.85</v>
      </c>
      <c r="I19" s="5" t="str">
        <f aca="false">IF(H19&gt;=2.3,"High",IF(H19&gt;=1.6,"Medium","Low"))</f>
        <v>High</v>
      </c>
      <c r="J19" s="5" t="n">
        <f aca="false">Customers!H19</f>
        <v>0</v>
      </c>
      <c r="K19" s="5" t="n">
        <f aca="false">Customers!I19</f>
        <v>0</v>
      </c>
      <c r="L19" s="5" t="str">
        <f aca="false">IF(J19=1,"PEP override",IF(K19=1,"Adverse media override",""))</f>
        <v/>
      </c>
      <c r="M19" s="5" t="str">
        <f aca="false">IF(OR(J19=1,K19=1),"High",I19)</f>
        <v>High</v>
      </c>
      <c r="N19" s="5" t="str">
        <f aca="false">IF(M19="High","Enhanced Due Diligence (EDD)",IF(M19="Medium","Standard CDD + enhanced monitoring","Simplified/Standard CDD"))</f>
        <v>Enhanced Due Diligence (EDD)</v>
      </c>
      <c r="O19" s="5" t="str">
        <f aca="false">IF(M19="High","Annual review",IF(M19="Medium","Review every 2 years","Review every 3 years"))</f>
        <v>Annual review</v>
      </c>
    </row>
    <row r="20" customFormat="false" ht="15" hidden="false" customHeight="false" outlineLevel="0" collapsed="false">
      <c r="A20" s="5" t="s">
        <v>187</v>
      </c>
      <c r="B20" s="5" t="s">
        <v>188</v>
      </c>
      <c r="C20" s="5" t="str">
        <f aca="false">INDEX(Reference_Tables!$B$3:$B$32,MATCH(Customers!D20,Reference_Tables!$A$3:$A$32,0))</f>
        <v>Medium</v>
      </c>
      <c r="D20" s="5" t="str">
        <f aca="false">INDEX(Reference_Tables!$F$3:$F$22,MATCH(Customers!E20,Reference_Tables!$E$3:$E$22,0))</f>
        <v>Low</v>
      </c>
      <c r="E20" s="5" t="str">
        <f aca="false">INDEX(Reference_Tables!$I$3:$I$12,MATCH(Customers!F20,Reference_Tables!$H$3:$H$12,0))</f>
        <v>Low</v>
      </c>
      <c r="F20" s="5" t="str">
        <f aca="false">INDEX(Reference_Tables!$L$3:$L$6,MATCH(Customers!G20,Reference_Tables!$K$3:$K$6,0))</f>
        <v>Low</v>
      </c>
      <c r="G20" s="5" t="str">
        <f aca="false">INDEX(Reference_Tables!$O$3:$O$9,MATCH(Customers!C20,Reference_Tables!$N$3:$N$9,0))</f>
        <v>Low</v>
      </c>
      <c r="H20" s="10" t="n">
        <f aca="false">(IF(C20="Low",1,IF(C20="Medium",2,3)))*Risk_Weights!$B$2+(IF(D20="Low",1,IF(D20="Medium",2,3)))*Risk_Weights!$B$3+(IF(E20="Low",1,IF(E20="Medium",2,3)))*Risk_Weights!$B$4+(IF(G20="Low",1,IF(G20="Medium",2,3)))*Risk_Weights!$B$5+(IF(F20="Low",1,IF(F20="Medium",2,3)))*Risk_Weights!$B$6</f>
        <v>1.25</v>
      </c>
      <c r="I20" s="5" t="str">
        <f aca="false">IF(H20&gt;=2.3,"High",IF(H20&gt;=1.6,"Medium","Low"))</f>
        <v>Low</v>
      </c>
      <c r="J20" s="5" t="n">
        <f aca="false">Customers!H20</f>
        <v>1</v>
      </c>
      <c r="K20" s="5" t="n">
        <f aca="false">Customers!I20</f>
        <v>0</v>
      </c>
      <c r="L20" s="5" t="str">
        <f aca="false">IF(J20=1,"PEP override",IF(K20=1,"Adverse media override",""))</f>
        <v>PEP override</v>
      </c>
      <c r="M20" s="5" t="str">
        <f aca="false">IF(OR(J20=1,K20=1),"High",I20)</f>
        <v>High</v>
      </c>
      <c r="N20" s="5" t="str">
        <f aca="false">IF(M20="High","Enhanced Due Diligence (EDD)",IF(M20="Medium","Standard CDD + enhanced monitoring","Simplified/Standard CDD"))</f>
        <v>Enhanced Due Diligence (EDD)</v>
      </c>
      <c r="O20" s="5" t="str">
        <f aca="false">IF(M20="High","Annual review",IF(M20="Medium","Review every 2 years","Review every 3 years"))</f>
        <v>Annual review</v>
      </c>
    </row>
    <row r="21" customFormat="false" ht="15" hidden="false" customHeight="false" outlineLevel="0" collapsed="false">
      <c r="A21" s="5" t="s">
        <v>190</v>
      </c>
      <c r="B21" s="5" t="s">
        <v>191</v>
      </c>
      <c r="C21" s="5" t="str">
        <f aca="false">INDEX(Reference_Tables!$B$3:$B$32,MATCH(Customers!D21,Reference_Tables!$A$3:$A$32,0))</f>
        <v>Low</v>
      </c>
      <c r="D21" s="5" t="str">
        <f aca="false">INDEX(Reference_Tables!$F$3:$F$22,MATCH(Customers!E21,Reference_Tables!$E$3:$E$22,0))</f>
        <v>Low</v>
      </c>
      <c r="E21" s="5" t="str">
        <f aca="false">INDEX(Reference_Tables!$I$3:$I$12,MATCH(Customers!F21,Reference_Tables!$H$3:$H$12,0))</f>
        <v>Low</v>
      </c>
      <c r="F21" s="5" t="str">
        <f aca="false">INDEX(Reference_Tables!$L$3:$L$6,MATCH(Customers!G21,Reference_Tables!$K$3:$K$6,0))</f>
        <v>Low</v>
      </c>
      <c r="G21" s="5" t="str">
        <f aca="false">INDEX(Reference_Tables!$O$3:$O$9,MATCH(Customers!C21,Reference_Tables!$N$3:$N$9,0))</f>
        <v>Low</v>
      </c>
      <c r="H21" s="10" t="n">
        <f aca="false">(IF(C21="Low",1,IF(C21="Medium",2,3)))*Risk_Weights!$B$2+(IF(D21="Low",1,IF(D21="Medium",2,3)))*Risk_Weights!$B$3+(IF(E21="Low",1,IF(E21="Medium",2,3)))*Risk_Weights!$B$4+(IF(G21="Low",1,IF(G21="Medium",2,3)))*Risk_Weights!$B$5+(IF(F21="Low",1,IF(F21="Medium",2,3)))*Risk_Weights!$B$6</f>
        <v>1</v>
      </c>
      <c r="I21" s="5" t="str">
        <f aca="false">IF(H21&gt;=2.3,"High",IF(H21&gt;=1.6,"Medium","Low"))</f>
        <v>Low</v>
      </c>
      <c r="J21" s="5" t="n">
        <f aca="false">Customers!H21</f>
        <v>0</v>
      </c>
      <c r="K21" s="5" t="n">
        <f aca="false">Customers!I21</f>
        <v>0</v>
      </c>
      <c r="L21" s="5" t="str">
        <f aca="false">IF(J21=1,"PEP override",IF(K21=1,"Adverse media override",""))</f>
        <v/>
      </c>
      <c r="M21" s="5" t="str">
        <f aca="false">IF(OR(J21=1,K21=1),"High",I21)</f>
        <v>Low</v>
      </c>
      <c r="N21" s="5" t="str">
        <f aca="false">IF(M21="High","Enhanced Due Diligence (EDD)",IF(M21="Medium","Standard CDD + enhanced monitoring","Simplified/Standard CDD"))</f>
        <v>Simplified/Standard CDD</v>
      </c>
      <c r="O21" s="5" t="str">
        <f aca="false">IF(M21="High","Annual review",IF(M21="Medium","Review every 2 years","Review every 3 years"))</f>
        <v>Review every 3 years</v>
      </c>
    </row>
    <row r="22" customFormat="false" ht="15" hidden="false" customHeight="false" outlineLevel="0" collapsed="false">
      <c r="A22" s="5" t="s">
        <v>193</v>
      </c>
      <c r="B22" s="5" t="s">
        <v>194</v>
      </c>
      <c r="C22" s="5" t="str">
        <f aca="false">INDEX(Reference_Tables!$B$3:$B$32,MATCH(Customers!D22,Reference_Tables!$A$3:$A$32,0))</f>
        <v>Medium</v>
      </c>
      <c r="D22" s="5" t="str">
        <f aca="false">INDEX(Reference_Tables!$F$3:$F$22,MATCH(Customers!E22,Reference_Tables!$E$3:$E$22,0))</f>
        <v>High</v>
      </c>
      <c r="E22" s="5" t="str">
        <f aca="false">INDEX(Reference_Tables!$I$3:$I$12,MATCH(Customers!F22,Reference_Tables!$H$3:$H$12,0))</f>
        <v>High</v>
      </c>
      <c r="F22" s="5" t="str">
        <f aca="false">INDEX(Reference_Tables!$L$3:$L$6,MATCH(Customers!G22,Reference_Tables!$K$3:$K$6,0))</f>
        <v>High</v>
      </c>
      <c r="G22" s="5" t="str">
        <f aca="false">INDEX(Reference_Tables!$O$3:$O$9,MATCH(Customers!C22,Reference_Tables!$N$3:$N$9,0))</f>
        <v>High</v>
      </c>
      <c r="H22" s="10" t="n">
        <f aca="false">(IF(C22="Low",1,IF(C22="Medium",2,3)))*Risk_Weights!$B$2+(IF(D22="Low",1,IF(D22="Medium",2,3)))*Risk_Weights!$B$3+(IF(E22="Low",1,IF(E22="Medium",2,3)))*Risk_Weights!$B$4+(IF(G22="Low",1,IF(G22="Medium",2,3)))*Risk_Weights!$B$5+(IF(F22="Low",1,IF(F22="Medium",2,3)))*Risk_Weights!$B$6</f>
        <v>2.75</v>
      </c>
      <c r="I22" s="5" t="str">
        <f aca="false">IF(H22&gt;=2.3,"High",IF(H22&gt;=1.6,"Medium","Low"))</f>
        <v>High</v>
      </c>
      <c r="J22" s="5" t="n">
        <f aca="false">Customers!H22</f>
        <v>0</v>
      </c>
      <c r="K22" s="5" t="n">
        <f aca="false">Customers!I22</f>
        <v>0</v>
      </c>
      <c r="L22" s="5" t="str">
        <f aca="false">IF(J22=1,"PEP override",IF(K22=1,"Adverse media override",""))</f>
        <v/>
      </c>
      <c r="M22" s="5" t="str">
        <f aca="false">IF(OR(J22=1,K22=1),"High",I22)</f>
        <v>High</v>
      </c>
      <c r="N22" s="5" t="str">
        <f aca="false">IF(M22="High","Enhanced Due Diligence (EDD)",IF(M22="Medium","Standard CDD + enhanced monitoring","Simplified/Standard CDD"))</f>
        <v>Enhanced Due Diligence (EDD)</v>
      </c>
      <c r="O22" s="5" t="str">
        <f aca="false">IF(M22="High","Annual review",IF(M22="Medium","Review every 2 years","Review every 3 years"))</f>
        <v>Annual review</v>
      </c>
    </row>
    <row r="23" customFormat="false" ht="15" hidden="false" customHeight="false" outlineLevel="0" collapsed="false">
      <c r="A23" s="5" t="s">
        <v>196</v>
      </c>
      <c r="B23" s="5" t="s">
        <v>197</v>
      </c>
      <c r="C23" s="5" t="str">
        <f aca="false">INDEX(Reference_Tables!$B$3:$B$32,MATCH(Customers!D23,Reference_Tables!$A$3:$A$32,0))</f>
        <v>Medium</v>
      </c>
      <c r="D23" s="5" t="str">
        <f aca="false">INDEX(Reference_Tables!$F$3:$F$22,MATCH(Customers!E23,Reference_Tables!$E$3:$E$22,0))</f>
        <v>Medium</v>
      </c>
      <c r="E23" s="5" t="str">
        <f aca="false">INDEX(Reference_Tables!$I$3:$I$12,MATCH(Customers!F23,Reference_Tables!$H$3:$H$12,0))</f>
        <v>Low</v>
      </c>
      <c r="F23" s="5" t="str">
        <f aca="false">INDEX(Reference_Tables!$L$3:$L$6,MATCH(Customers!G23,Reference_Tables!$K$3:$K$6,0))</f>
        <v>Medium</v>
      </c>
      <c r="G23" s="5" t="str">
        <f aca="false">INDEX(Reference_Tables!$O$3:$O$9,MATCH(Customers!C23,Reference_Tables!$N$3:$N$9,0))</f>
        <v>Low</v>
      </c>
      <c r="H23" s="10" t="n">
        <f aca="false">(IF(C23="Low",1,IF(C23="Medium",2,3)))*Risk_Weights!$B$2+(IF(D23="Low",1,IF(D23="Medium",2,3)))*Risk_Weights!$B$3+(IF(E23="Low",1,IF(E23="Medium",2,3)))*Risk_Weights!$B$4+(IF(G23="Low",1,IF(G23="Medium",2,3)))*Risk_Weights!$B$5+(IF(F23="Low",1,IF(F23="Medium",2,3)))*Risk_Weights!$B$6</f>
        <v>1.65</v>
      </c>
      <c r="I23" s="5" t="str">
        <f aca="false">IF(H23&gt;=2.3,"High",IF(H23&gt;=1.6,"Medium","Low"))</f>
        <v>Medium</v>
      </c>
      <c r="J23" s="5" t="n">
        <f aca="false">Customers!H23</f>
        <v>0</v>
      </c>
      <c r="K23" s="5" t="n">
        <f aca="false">Customers!I23</f>
        <v>0</v>
      </c>
      <c r="L23" s="5" t="str">
        <f aca="false">IF(J23=1,"PEP override",IF(K23=1,"Adverse media override",""))</f>
        <v/>
      </c>
      <c r="M23" s="5" t="str">
        <f aca="false">IF(OR(J23=1,K23=1),"High",I23)</f>
        <v>Medium</v>
      </c>
      <c r="N23" s="5" t="str">
        <f aca="false">IF(M23="High","Enhanced Due Diligence (EDD)",IF(M23="Medium","Standard CDD + enhanced monitoring","Simplified/Standard CDD"))</f>
        <v>Standard CDD + enhanced monitoring</v>
      </c>
      <c r="O23" s="5" t="str">
        <f aca="false">IF(M23="High","Annual review",IF(M23="Medium","Review every 2 years","Review every 3 years"))</f>
        <v>Review every 2 years</v>
      </c>
    </row>
    <row r="24" customFormat="false" ht="15" hidden="false" customHeight="false" outlineLevel="0" collapsed="false">
      <c r="A24" s="5" t="s">
        <v>199</v>
      </c>
      <c r="B24" s="5" t="s">
        <v>200</v>
      </c>
      <c r="C24" s="5" t="str">
        <f aca="false">INDEX(Reference_Tables!$B$3:$B$32,MATCH(Customers!D24,Reference_Tables!$A$3:$A$32,0))</f>
        <v>Low</v>
      </c>
      <c r="D24" s="5" t="str">
        <f aca="false">INDEX(Reference_Tables!$F$3:$F$22,MATCH(Customers!E24,Reference_Tables!$E$3:$E$22,0))</f>
        <v>Medium</v>
      </c>
      <c r="E24" s="5" t="str">
        <f aca="false">INDEX(Reference_Tables!$I$3:$I$12,MATCH(Customers!F24,Reference_Tables!$H$3:$H$12,0))</f>
        <v>Medium</v>
      </c>
      <c r="F24" s="5" t="str">
        <f aca="false">INDEX(Reference_Tables!$L$3:$L$6,MATCH(Customers!G24,Reference_Tables!$K$3:$K$6,0))</f>
        <v>Low</v>
      </c>
      <c r="G24" s="5" t="str">
        <f aca="false">INDEX(Reference_Tables!$O$3:$O$9,MATCH(Customers!C24,Reference_Tables!$N$3:$N$9,0))</f>
        <v>Low</v>
      </c>
      <c r="H24" s="10" t="n">
        <f aca="false">(IF(C24="Low",1,IF(C24="Medium",2,3)))*Risk_Weights!$B$2+(IF(D24="Low",1,IF(D24="Medium",2,3)))*Risk_Weights!$B$3+(IF(E24="Low",1,IF(E24="Medium",2,3)))*Risk_Weights!$B$4+(IF(G24="Low",1,IF(G24="Medium",2,3)))*Risk_Weights!$B$5+(IF(F24="Low",1,IF(F24="Medium",2,3)))*Risk_Weights!$B$6</f>
        <v>1.4</v>
      </c>
      <c r="I24" s="5" t="str">
        <f aca="false">IF(H24&gt;=2.3,"High",IF(H24&gt;=1.6,"Medium","Low"))</f>
        <v>Low</v>
      </c>
      <c r="J24" s="5" t="n">
        <f aca="false">Customers!H24</f>
        <v>0</v>
      </c>
      <c r="K24" s="5" t="n">
        <f aca="false">Customers!I24</f>
        <v>0</v>
      </c>
      <c r="L24" s="5" t="str">
        <f aca="false">IF(J24=1,"PEP override",IF(K24=1,"Adverse media override",""))</f>
        <v/>
      </c>
      <c r="M24" s="5" t="str">
        <f aca="false">IF(OR(J24=1,K24=1),"High",I24)</f>
        <v>Low</v>
      </c>
      <c r="N24" s="5" t="str">
        <f aca="false">IF(M24="High","Enhanced Due Diligence (EDD)",IF(M24="Medium","Standard CDD + enhanced monitoring","Simplified/Standard CDD"))</f>
        <v>Simplified/Standard CDD</v>
      </c>
      <c r="O24" s="5" t="str">
        <f aca="false">IF(M24="High","Annual review",IF(M24="Medium","Review every 2 years","Review every 3 years"))</f>
        <v>Review every 3 years</v>
      </c>
    </row>
    <row r="25" customFormat="false" ht="15" hidden="false" customHeight="false" outlineLevel="0" collapsed="false">
      <c r="A25" s="5" t="s">
        <v>202</v>
      </c>
      <c r="B25" s="5" t="s">
        <v>203</v>
      </c>
      <c r="C25" s="5" t="str">
        <f aca="false">INDEX(Reference_Tables!$B$3:$B$32,MATCH(Customers!D25,Reference_Tables!$A$3:$A$32,0))</f>
        <v>High</v>
      </c>
      <c r="D25" s="5" t="str">
        <f aca="false">INDEX(Reference_Tables!$F$3:$F$22,MATCH(Customers!E25,Reference_Tables!$E$3:$E$22,0))</f>
        <v>Medium</v>
      </c>
      <c r="E25" s="5" t="str">
        <f aca="false">INDEX(Reference_Tables!$I$3:$I$12,MATCH(Customers!F25,Reference_Tables!$H$3:$H$12,0))</f>
        <v>High</v>
      </c>
      <c r="F25" s="5" t="str">
        <f aca="false">INDEX(Reference_Tables!$L$3:$L$6,MATCH(Customers!G25,Reference_Tables!$K$3:$K$6,0))</f>
        <v>High</v>
      </c>
      <c r="G25" s="5" t="str">
        <f aca="false">INDEX(Reference_Tables!$O$3:$O$9,MATCH(Customers!C25,Reference_Tables!$N$3:$N$9,0))</f>
        <v>Medium</v>
      </c>
      <c r="H25" s="10" t="n">
        <f aca="false">(IF(C25="Low",1,IF(C25="Medium",2,3)))*Risk_Weights!$B$2+(IF(D25="Low",1,IF(D25="Medium",2,3)))*Risk_Weights!$B$3+(IF(E25="Low",1,IF(E25="Medium",2,3)))*Risk_Weights!$B$4+(IF(G25="Low",1,IF(G25="Medium",2,3)))*Risk_Weights!$B$5+(IF(F25="Low",1,IF(F25="Medium",2,3)))*Risk_Weights!$B$6</f>
        <v>2.65</v>
      </c>
      <c r="I25" s="5" t="str">
        <f aca="false">IF(H25&gt;=2.3,"High",IF(H25&gt;=1.6,"Medium","Low"))</f>
        <v>High</v>
      </c>
      <c r="J25" s="5" t="n">
        <f aca="false">Customers!H25</f>
        <v>0</v>
      </c>
      <c r="K25" s="5" t="n">
        <f aca="false">Customers!I25</f>
        <v>0</v>
      </c>
      <c r="L25" s="5" t="str">
        <f aca="false">IF(J25=1,"PEP override",IF(K25=1,"Adverse media override",""))</f>
        <v/>
      </c>
      <c r="M25" s="5" t="str">
        <f aca="false">IF(OR(J25=1,K25=1),"High",I25)</f>
        <v>High</v>
      </c>
      <c r="N25" s="5" t="str">
        <f aca="false">IF(M25="High","Enhanced Due Diligence (EDD)",IF(M25="Medium","Standard CDD + enhanced monitoring","Simplified/Standard CDD"))</f>
        <v>Enhanced Due Diligence (EDD)</v>
      </c>
      <c r="O25" s="5" t="str">
        <f aca="false">IF(M25="High","Annual review",IF(M25="Medium","Review every 2 years","Review every 3 years"))</f>
        <v>Annual review</v>
      </c>
    </row>
    <row r="26" customFormat="false" ht="15" hidden="false" customHeight="false" outlineLevel="0" collapsed="false">
      <c r="A26" s="5" t="s">
        <v>205</v>
      </c>
      <c r="B26" s="5" t="s">
        <v>206</v>
      </c>
      <c r="C26" s="5" t="str">
        <f aca="false">INDEX(Reference_Tables!$B$3:$B$32,MATCH(Customers!D26,Reference_Tables!$A$3:$A$32,0))</f>
        <v>Low</v>
      </c>
      <c r="D26" s="5" t="str">
        <f aca="false">INDEX(Reference_Tables!$F$3:$F$22,MATCH(Customers!E26,Reference_Tables!$E$3:$E$22,0))</f>
        <v>Low</v>
      </c>
      <c r="E26" s="5" t="str">
        <f aca="false">INDEX(Reference_Tables!$I$3:$I$12,MATCH(Customers!F26,Reference_Tables!$H$3:$H$12,0))</f>
        <v>Low</v>
      </c>
      <c r="F26" s="5" t="str">
        <f aca="false">INDEX(Reference_Tables!$L$3:$L$6,MATCH(Customers!G26,Reference_Tables!$K$3:$K$6,0))</f>
        <v>Low</v>
      </c>
      <c r="G26" s="5" t="str">
        <f aca="false">INDEX(Reference_Tables!$O$3:$O$9,MATCH(Customers!C26,Reference_Tables!$N$3:$N$9,0))</f>
        <v>Low</v>
      </c>
      <c r="H26" s="10" t="n">
        <f aca="false">(IF(C26="Low",1,IF(C26="Medium",2,3)))*Risk_Weights!$B$2+(IF(D26="Low",1,IF(D26="Medium",2,3)))*Risk_Weights!$B$3+(IF(E26="Low",1,IF(E26="Medium",2,3)))*Risk_Weights!$B$4+(IF(G26="Low",1,IF(G26="Medium",2,3)))*Risk_Weights!$B$5+(IF(F26="Low",1,IF(F26="Medium",2,3)))*Risk_Weights!$B$6</f>
        <v>1</v>
      </c>
      <c r="I26" s="5" t="str">
        <f aca="false">IF(H26&gt;=2.3,"High",IF(H26&gt;=1.6,"Medium","Low"))</f>
        <v>Low</v>
      </c>
      <c r="J26" s="5" t="n">
        <f aca="false">Customers!H26</f>
        <v>0</v>
      </c>
      <c r="K26" s="5" t="n">
        <f aca="false">Customers!I26</f>
        <v>0</v>
      </c>
      <c r="L26" s="5" t="str">
        <f aca="false">IF(J26=1,"PEP override",IF(K26=1,"Adverse media override",""))</f>
        <v/>
      </c>
      <c r="M26" s="5" t="str">
        <f aca="false">IF(OR(J26=1,K26=1),"High",I26)</f>
        <v>Low</v>
      </c>
      <c r="N26" s="5" t="str">
        <f aca="false">IF(M26="High","Enhanced Due Diligence (EDD)",IF(M26="Medium","Standard CDD + enhanced monitoring","Simplified/Standard CDD"))</f>
        <v>Simplified/Standard CDD</v>
      </c>
      <c r="O26" s="5" t="str">
        <f aca="false">IF(M26="High","Annual review",IF(M26="Medium","Review every 2 years","Review every 3 years"))</f>
        <v>Review every 3 years</v>
      </c>
    </row>
  </sheetData>
  <autoFilter ref="A1:O26"/>
  <conditionalFormatting sqref="A2:O26">
    <cfRule type="expression" priority="2" aboveAverage="0" equalAverage="0" bottom="0" percent="0" rank="0" text="" dxfId="9">
      <formula>$M2="High"</formula>
    </cfRule>
    <cfRule type="expression" priority="3" aboveAverage="0" equalAverage="0" bottom="0" percent="0" rank="0" text="" dxfId="10">
      <formula>$M2="Medium"</formula>
    </cfRule>
    <cfRule type="expression" priority="4" aboveAverage="0" equalAverage="0" bottom="0" percent="0" rank="0" text="" dxfId="11">
      <formula>$M2="Low"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2026-09-20T09:05:54Z</dcterms:created>
  <dc:creator>openpyxl</dc:creator>
  <dc:description/>
  <dc:language>en-US</dc:language>
  <cp:lastModifiedBy/>
  <dcterms:modified xsi:type="dcterms:W3CDTF">2026-09-20T09:05:54Z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